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12752\Desktop\"/>
    </mc:Choice>
  </mc:AlternateContent>
  <xr:revisionPtr revIDLastSave="0" documentId="13_ncr:1_{657CEF9B-1F87-4891-B351-A00E1ED56773}" xr6:coauthVersionLast="47" xr6:coauthVersionMax="47" xr10:uidLastSave="{00000000-0000-0000-0000-000000000000}"/>
  <bookViews>
    <workbookView xWindow="3240" yWindow="1910" windowWidth="1299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2" l="1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50" i="1"/>
  <c r="B50" i="1"/>
  <c r="F49" i="1"/>
  <c r="B49" i="1"/>
  <c r="F48" i="1"/>
  <c r="B48" i="1"/>
  <c r="F47" i="1"/>
  <c r="B47" i="1"/>
  <c r="F46" i="1"/>
  <c r="B46" i="1"/>
  <c r="F45" i="1"/>
  <c r="B45" i="1"/>
  <c r="F44" i="1"/>
  <c r="B44" i="1"/>
  <c r="F43" i="1"/>
  <c r="B43" i="1"/>
  <c r="F42" i="1"/>
  <c r="B42" i="1"/>
</calcChain>
</file>

<file path=xl/sharedStrings.xml><?xml version="1.0" encoding="utf-8"?>
<sst xmlns="http://schemas.openxmlformats.org/spreadsheetml/2006/main" count="202" uniqueCount="78">
  <si>
    <t>METRLA</t>
  </si>
  <si>
    <t>Horizon 36</t>
  </si>
  <si>
    <t>Horizon 72</t>
  </si>
  <si>
    <t>Horizon 144</t>
  </si>
  <si>
    <t>Average</t>
  </si>
  <si>
    <t>PEMSBAY</t>
  </si>
  <si>
    <t>MAE</t>
  </si>
  <si>
    <t>RMSE</t>
  </si>
  <si>
    <t>MAPE</t>
  </si>
  <si>
    <t>CSDI</t>
  </si>
  <si>
    <t>STAEformer</t>
  </si>
  <si>
    <t>Linear</t>
  </si>
  <si>
    <t>VAR</t>
  </si>
  <si>
    <t>DCRNN</t>
  </si>
  <si>
    <t>STGCN</t>
  </si>
  <si>
    <t>DGCRN</t>
  </si>
  <si>
    <t>DiffSTG</t>
  </si>
  <si>
    <t>HimNet</t>
  </si>
  <si>
    <t>STID</t>
  </si>
  <si>
    <t>Transformer</t>
  </si>
  <si>
    <t>Informer</t>
  </si>
  <si>
    <t>Autoformer</t>
  </si>
  <si>
    <t>FEDformer</t>
  </si>
  <si>
    <t>DLinear</t>
  </si>
  <si>
    <t>PatchTST</t>
  </si>
  <si>
    <t>iTransformer</t>
  </si>
  <si>
    <t>LightTS</t>
  </si>
  <si>
    <t>STD-MAE</t>
  </si>
  <si>
    <t>Ours</t>
  </si>
  <si>
    <t>PatchSTG</t>
  </si>
  <si>
    <t>GWNET</t>
  </si>
  <si>
    <t>TSFlow</t>
  </si>
  <si>
    <t>Freqflow</t>
  </si>
  <si>
    <t>UniST</t>
  </si>
  <si>
    <t>STUM</t>
  </si>
  <si>
    <t>Horizon 3</t>
  </si>
  <si>
    <t>Horizon 6</t>
  </si>
  <si>
    <t>Horizon 12</t>
  </si>
  <si>
    <t>PEMS08</t>
  </si>
  <si>
    <t>TrafficFM</t>
  </si>
  <si>
    <t>METR-LA</t>
  </si>
  <si>
    <t>CRPS</t>
  </si>
  <si>
    <t>WD</t>
  </si>
  <si>
    <t>PEMS-BAY</t>
  </si>
  <si>
    <t>FreqFlow</t>
  </si>
  <si>
    <t>Inference Time (s)</t>
  </si>
  <si>
    <t>Table II MAE Reconciliation Against Submitted main.pdf</t>
  </si>
  <si>
    <t>Method</t>
  </si>
  <si>
    <t>Dataset</t>
  </si>
  <si>
    <t>Table I H144 MAE</t>
  </si>
  <si>
    <t>Prior Table II MAE</t>
  </si>
  <si>
    <t>Reconciled MAE</t>
  </si>
  <si>
    <t>Prior - Table I</t>
  </si>
  <si>
    <t>CRPS/WD source</t>
  </si>
  <si>
    <t>Validation status</t>
  </si>
  <si>
    <t>Submitted Table II</t>
  </si>
  <si>
    <t>Consistent</t>
  </si>
  <si>
    <t>MAE unified to Table I; retain submitted CRPS/WD</t>
  </si>
  <si>
    <t>Supplemental run</t>
  </si>
  <si>
    <t>Recompute CRPS/WD from the Table I prediction file</t>
  </si>
  <si>
    <t>Recheck CRPS/WD with the saved Table I predictions</t>
  </si>
  <si>
    <t>DiffSTG status</t>
  </si>
  <si>
    <t>The DiffSTG probabilistic run was not complete by the rebuttal deadline because of its high runtime. Its implementation has been uploaded to the anonymous benchmark repository; no unfinished CRPS/WD values are reported.</t>
  </si>
  <si>
    <t>Experimental Results Reconciliation Notes</t>
  </si>
  <si>
    <t>Primary source</t>
  </si>
  <si>
    <t>Submitted main.pdf, Tables I-II</t>
  </si>
  <si>
    <t>Table II MAE</t>
  </si>
  <si>
    <t>Aligned to Table I Horizon 144 for every included model</t>
  </si>
  <si>
    <t>MAE unified to 3.9905 (METR-LA) and 2.6057 (PEMS-BAY); submitted CRPS/WD retained</t>
  </si>
  <si>
    <t>Duplicate row</t>
  </si>
  <si>
    <t>Removed the earlier conflicting PatchSTG row</t>
  </si>
  <si>
    <t>MAPE formatting</t>
  </si>
  <si>
    <t>Normalized CSDI/STAEformer percentage cells to consistent percentage units</t>
  </si>
  <si>
    <t>Code uploaded; probabilistic run incomplete at the rebuttal deadline; no result fabricated</t>
  </si>
  <si>
    <t>Important caveat</t>
  </si>
  <si>
    <t>STID, STAEformer, and PatchSTG CRPS/WD must be recomputed from the same saved predictions as Table I before being claimed as final</t>
  </si>
  <si>
    <t>Anonymous artifact update</t>
  </si>
  <si>
    <t>Implementations uploaded: CSDI, STAEformer, PatchSTG, GraphWaveNet, TSFlow, FreqFlow, UniST, STUM, and DiffSTG. Upload only verified supplementary metrics together with configurations, evaluator details, seeds, and raw outputs.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</si>
</sst>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0"/>
  </numFmts>
  <fonts count="8" x14ac:knownFonts="1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b/>
      <sz val="11"/>
      <color rgb="FF17365D"/>
      <name val="宋体"/>
      <charset val="134"/>
    </font>
    <font>
      <b/>
      <sz val="11"/>
      <color rgb="FF7F4125"/>
      <name val="宋体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b/>
      <sz val="11"/>
      <color rgb="FF000000"/>
      <name val="等线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EADBA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3" borderId="1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2" fillId="3" borderId="3" xfId="0" applyFont="1" applyFill="1" applyBorder="1">
      <alignment vertical="center"/>
    </xf>
    <xf numFmtId="0" fontId="0" fillId="0" borderId="4" xfId="0" applyBorder="1" applyAlignment="1">
      <alignment vertical="center" wrapText="1"/>
    </xf>
    <xf numFmtId="0" fontId="2" fillId="3" borderId="5" xfId="0" applyFont="1" applyFill="1" applyBorder="1">
      <alignment vertical="center"/>
    </xf>
    <xf numFmtId="0" fontId="0" fillId="0" borderId="6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178" fontId="0" fillId="0" borderId="8" xfId="0" applyNumberFormat="1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178" fontId="0" fillId="0" borderId="9" xfId="0" applyNumberFormat="1" applyBorder="1">
      <alignment vertical="center"/>
    </xf>
    <xf numFmtId="0" fontId="4" fillId="0" borderId="0" xfId="0" applyFont="1" applyAlignment="1"/>
    <xf numFmtId="0" fontId="5" fillId="0" borderId="0" xfId="0" applyFont="1" applyAlignment="1"/>
    <xf numFmtId="178" fontId="4" fillId="0" borderId="0" xfId="0" applyNumberFormat="1" applyFont="1" applyAlignment="1"/>
    <xf numFmtId="10" fontId="4" fillId="0" borderId="0" xfId="0" applyNumberFormat="1" applyFont="1" applyAlignment="1"/>
    <xf numFmtId="0" fontId="4" fillId="0" borderId="10" xfId="0" applyFont="1" applyBorder="1" applyAlignment="1"/>
    <xf numFmtId="178" fontId="4" fillId="0" borderId="10" xfId="0" applyNumberFormat="1" applyFont="1" applyBorder="1" applyAlignment="1"/>
    <xf numFmtId="0" fontId="4" fillId="0" borderId="11" xfId="0" applyFont="1" applyBorder="1" applyAlignment="1"/>
    <xf numFmtId="178" fontId="4" fillId="0" borderId="11" xfId="0" applyNumberFormat="1" applyFont="1" applyBorder="1" applyAlignment="1"/>
    <xf numFmtId="0" fontId="6" fillId="0" borderId="11" xfId="0" applyFont="1" applyBorder="1" applyAlignment="1"/>
    <xf numFmtId="178" fontId="6" fillId="0" borderId="11" xfId="0" applyNumberFormat="1" applyFont="1" applyBorder="1" applyAlignment="1"/>
    <xf numFmtId="0" fontId="4" fillId="0" borderId="12" xfId="0" applyFont="1" applyBorder="1" applyAlignment="1"/>
    <xf numFmtId="178" fontId="4" fillId="0" borderId="12" xfId="0" applyNumberFormat="1" applyFont="1" applyBorder="1" applyAlignment="1"/>
    <xf numFmtId="0" fontId="6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2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0" fillId="7" borderId="0" xfId="0" applyFill="1" applyAlignment="1">
      <alignment vertical="top" wrapText="1"/>
    </xf>
    <xf numFmtId="0" fontId="1" fillId="4" borderId="0" xfId="0" applyFont="1" applyFill="1">
      <alignment vertical="center"/>
    </xf>
    <xf numFmtId="0" fontId="0" fillId="5" borderId="0" xfId="0" applyFill="1" applyAlignment="1">
      <alignment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8"/>
  <sheetViews>
    <sheetView tabSelected="1" topLeftCell="A31" workbookViewId="0">
      <selection activeCell="D42" sqref="D42"/>
    </sheetView>
  </sheetViews>
  <sheetFormatPr defaultColWidth="9" defaultRowHeight="14" x14ac:dyDescent="0.25"/>
  <cols>
    <col min="1" max="1" width="20" customWidth="1"/>
    <col min="2" max="3" width="12" customWidth="1"/>
  </cols>
  <sheetData>
    <row r="1" spans="1:27" ht="14.25" customHeight="1" x14ac:dyDescent="0.3">
      <c r="A1" s="16" t="s">
        <v>0</v>
      </c>
      <c r="B1" s="29" t="s">
        <v>1</v>
      </c>
      <c r="C1" s="29"/>
      <c r="D1" s="29"/>
      <c r="E1" s="29" t="s">
        <v>2</v>
      </c>
      <c r="F1" s="29"/>
      <c r="G1" s="29"/>
      <c r="H1" s="29" t="s">
        <v>3</v>
      </c>
      <c r="I1" s="29"/>
      <c r="J1" s="29"/>
      <c r="K1" s="29" t="s">
        <v>4</v>
      </c>
      <c r="L1" s="29"/>
      <c r="M1" s="29"/>
      <c r="N1" s="16" t="s">
        <v>5</v>
      </c>
      <c r="O1" s="29" t="s">
        <v>1</v>
      </c>
      <c r="P1" s="29"/>
      <c r="Q1" s="29"/>
      <c r="R1" s="29" t="s">
        <v>2</v>
      </c>
      <c r="S1" s="29"/>
      <c r="T1" s="29"/>
      <c r="U1" s="29" t="s">
        <v>3</v>
      </c>
      <c r="V1" s="29"/>
      <c r="W1" s="29"/>
      <c r="X1" s="29" t="s">
        <v>4</v>
      </c>
      <c r="Y1" s="29"/>
      <c r="Z1" s="29"/>
    </row>
    <row r="2" spans="1:27" x14ac:dyDescent="0.3">
      <c r="A2" s="17"/>
      <c r="B2" s="16" t="s">
        <v>6</v>
      </c>
      <c r="C2" s="16" t="s">
        <v>7</v>
      </c>
      <c r="D2" s="16" t="s">
        <v>8</v>
      </c>
      <c r="E2" s="16" t="s">
        <v>6</v>
      </c>
      <c r="F2" s="16" t="s">
        <v>7</v>
      </c>
      <c r="G2" s="16" t="s">
        <v>8</v>
      </c>
      <c r="H2" s="16" t="s">
        <v>6</v>
      </c>
      <c r="I2" s="16" t="s">
        <v>7</v>
      </c>
      <c r="J2" s="16" t="s">
        <v>8</v>
      </c>
      <c r="K2" s="16" t="s">
        <v>6</v>
      </c>
      <c r="L2" s="16" t="s">
        <v>7</v>
      </c>
      <c r="M2" s="16" t="s">
        <v>8</v>
      </c>
      <c r="N2" s="16"/>
      <c r="O2" s="16" t="s">
        <v>6</v>
      </c>
      <c r="P2" s="16" t="s">
        <v>7</v>
      </c>
      <c r="Q2" s="16" t="s">
        <v>8</v>
      </c>
      <c r="R2" s="16" t="s">
        <v>6</v>
      </c>
      <c r="S2" s="16" t="s">
        <v>7</v>
      </c>
      <c r="T2" s="16" t="s">
        <v>8</v>
      </c>
      <c r="U2" s="16" t="s">
        <v>6</v>
      </c>
      <c r="V2" s="16" t="s">
        <v>7</v>
      </c>
      <c r="W2" s="16" t="s">
        <v>8</v>
      </c>
      <c r="X2" s="16" t="s">
        <v>6</v>
      </c>
      <c r="Y2" s="16" t="s">
        <v>7</v>
      </c>
      <c r="Z2" s="16" t="s">
        <v>8</v>
      </c>
    </row>
    <row r="3" spans="1:27" x14ac:dyDescent="0.3">
      <c r="A3" s="17" t="s">
        <v>9</v>
      </c>
      <c r="B3" s="18">
        <v>12.81856</v>
      </c>
      <c r="C3" s="18">
        <v>22.770356</v>
      </c>
      <c r="D3" s="18">
        <v>0.26950468</v>
      </c>
      <c r="E3" s="18">
        <v>13.865955</v>
      </c>
      <c r="F3" s="18">
        <v>24.377420000000001</v>
      </c>
      <c r="G3" s="18">
        <v>0.26623245000000001</v>
      </c>
      <c r="H3" s="18">
        <v>13.323511999999999</v>
      </c>
      <c r="I3" s="18">
        <v>23.456883000000001</v>
      </c>
      <c r="J3" s="18">
        <v>0.23306439000000001</v>
      </c>
      <c r="K3" s="18">
        <v>12.857417</v>
      </c>
      <c r="L3" s="18">
        <v>22.972273000000001</v>
      </c>
      <c r="M3" s="18">
        <v>0.25163786999999999</v>
      </c>
      <c r="N3" s="18"/>
      <c r="O3" s="18">
        <v>4.569229</v>
      </c>
      <c r="P3" s="18">
        <v>9.5866659999999992</v>
      </c>
      <c r="Q3" s="18">
        <v>0.12908090999999999</v>
      </c>
      <c r="R3" s="18">
        <v>4.8213650000000001</v>
      </c>
      <c r="S3" s="18">
        <v>9.8149409999999992</v>
      </c>
      <c r="T3" s="18">
        <v>0.13490815</v>
      </c>
      <c r="U3" s="18">
        <v>3.9139439999999999</v>
      </c>
      <c r="V3" s="18">
        <v>8.1763949999999994</v>
      </c>
      <c r="W3" s="18">
        <v>0.10175389999999999</v>
      </c>
      <c r="X3" s="18">
        <v>4.4038690000000003</v>
      </c>
      <c r="Y3" s="18">
        <v>9.2324199999999994</v>
      </c>
      <c r="Z3" s="18">
        <v>0.12154108</v>
      </c>
    </row>
    <row r="4" spans="1:27" x14ac:dyDescent="0.3">
      <c r="A4" s="17" t="s">
        <v>10</v>
      </c>
      <c r="B4" s="18">
        <v>4.1551299999999998</v>
      </c>
      <c r="C4" s="18">
        <v>8.6467799999999997</v>
      </c>
      <c r="D4" s="18">
        <v>0.1400131</v>
      </c>
      <c r="E4" s="18">
        <v>4.1505400000000003</v>
      </c>
      <c r="F4" s="18">
        <v>8.69</v>
      </c>
      <c r="G4" s="18">
        <v>0.14143310000000001</v>
      </c>
      <c r="H4" s="18">
        <v>4.1618300000000001</v>
      </c>
      <c r="I4" s="18">
        <v>8.5979700000000001</v>
      </c>
      <c r="J4" s="18">
        <v>0.14139119999999999</v>
      </c>
      <c r="K4" s="18">
        <v>4.1558299999999999</v>
      </c>
      <c r="L4" s="18">
        <v>8.6449200000000008</v>
      </c>
      <c r="M4" s="18">
        <v>0.14094499999999999</v>
      </c>
      <c r="N4" s="18"/>
      <c r="O4" s="18">
        <v>2.3591299999999999</v>
      </c>
      <c r="P4" s="18">
        <v>5.3673999999999999</v>
      </c>
      <c r="Q4" s="18">
        <v>5.5686199999999998E-2</v>
      </c>
      <c r="R4" s="18">
        <v>2.4012199999999999</v>
      </c>
      <c r="S4" s="18">
        <v>5.4570699999999999</v>
      </c>
      <c r="T4" s="18">
        <v>5.6400699999999998E-2</v>
      </c>
      <c r="U4" s="18">
        <v>2.50719</v>
      </c>
      <c r="V4" s="18">
        <v>5.43954</v>
      </c>
      <c r="W4" s="18">
        <v>6.0262299999999998E-2</v>
      </c>
      <c r="X4" s="18">
        <v>2.3527900000000002</v>
      </c>
      <c r="Y4" s="18">
        <v>5.3528500000000001</v>
      </c>
      <c r="Z4" s="18">
        <v>5.5592599999999999E-2</v>
      </c>
    </row>
    <row r="5" spans="1:27" x14ac:dyDescent="0.3">
      <c r="A5" s="16" t="s">
        <v>11</v>
      </c>
      <c r="B5" s="18">
        <v>10.805400000000001</v>
      </c>
      <c r="C5" s="18">
        <v>15.3537</v>
      </c>
      <c r="D5" s="18">
        <v>0.24410000000000001</v>
      </c>
      <c r="E5" s="18">
        <v>11.773899999999999</v>
      </c>
      <c r="F5" s="18">
        <v>16.189299999999999</v>
      </c>
      <c r="G5" s="18">
        <v>0.26340000000000002</v>
      </c>
      <c r="H5" s="18">
        <v>11.521699999999999</v>
      </c>
      <c r="I5" s="18">
        <v>15.1806</v>
      </c>
      <c r="J5" s="18">
        <v>0.25979999999999998</v>
      </c>
      <c r="K5" s="18">
        <v>10.9048</v>
      </c>
      <c r="L5" s="18">
        <v>15.2529</v>
      </c>
      <c r="M5" s="18">
        <v>0.24210000000000001</v>
      </c>
      <c r="N5" s="18"/>
      <c r="O5" s="18">
        <v>10.6122</v>
      </c>
      <c r="P5" s="18">
        <v>21.291899999999998</v>
      </c>
      <c r="Q5" s="18">
        <v>0.2109</v>
      </c>
      <c r="R5" s="18">
        <v>8.5419</v>
      </c>
      <c r="S5" s="18">
        <v>14.6471</v>
      </c>
      <c r="T5" s="18">
        <v>0.17760000000000001</v>
      </c>
      <c r="U5" s="18">
        <v>9.3878000000000004</v>
      </c>
      <c r="V5" s="18">
        <v>17.8567</v>
      </c>
      <c r="W5" s="18">
        <v>0.1986</v>
      </c>
      <c r="X5" s="18">
        <v>8.3384999999999998</v>
      </c>
      <c r="Y5" s="18">
        <v>16.032499999999999</v>
      </c>
      <c r="Z5" s="18">
        <v>0.1719</v>
      </c>
      <c r="AA5" s="18"/>
    </row>
    <row r="6" spans="1:27" x14ac:dyDescent="0.3">
      <c r="A6" s="16" t="s">
        <v>12</v>
      </c>
      <c r="B6" s="18">
        <v>11.197100000000001</v>
      </c>
      <c r="C6" s="18">
        <v>20.1526</v>
      </c>
      <c r="D6" s="18">
        <v>0.27979999999999999</v>
      </c>
      <c r="E6" s="18">
        <v>13.463800000000001</v>
      </c>
      <c r="F6" s="18">
        <v>22.650500000000001</v>
      </c>
      <c r="G6" s="18">
        <v>0.33100000000000002</v>
      </c>
      <c r="H6" s="18">
        <v>15.633599999999999</v>
      </c>
      <c r="I6" s="18">
        <v>25.252199999999998</v>
      </c>
      <c r="J6" s="18">
        <v>0.38219999999999998</v>
      </c>
      <c r="K6" s="18">
        <v>12.4064</v>
      </c>
      <c r="L6" s="18">
        <v>21.655799999999999</v>
      </c>
      <c r="M6" s="18">
        <v>0.30499999999999999</v>
      </c>
      <c r="N6" s="18"/>
      <c r="O6" s="18">
        <v>6.1863999999999999</v>
      </c>
      <c r="P6" s="18">
        <v>12.878299999999999</v>
      </c>
      <c r="Q6" s="18">
        <v>0.1595</v>
      </c>
      <c r="R6" s="18">
        <v>8.0627999999999993</v>
      </c>
      <c r="S6" s="18">
        <v>15.103199999999999</v>
      </c>
      <c r="T6" s="18">
        <v>0.2059</v>
      </c>
      <c r="U6" s="18">
        <v>9.1874000000000002</v>
      </c>
      <c r="V6" s="18">
        <v>16.0153</v>
      </c>
      <c r="W6" s="18">
        <v>0.22800000000000001</v>
      </c>
      <c r="X6" s="18">
        <v>7.1825000000000001</v>
      </c>
      <c r="Y6" s="18">
        <v>13.9526</v>
      </c>
      <c r="Z6" s="18">
        <v>0.18110000000000001</v>
      </c>
      <c r="AA6" s="18"/>
    </row>
    <row r="7" spans="1:27" x14ac:dyDescent="0.3">
      <c r="A7" s="16" t="s">
        <v>13</v>
      </c>
      <c r="B7" s="18">
        <v>5.6025</v>
      </c>
      <c r="C7" s="18">
        <v>11.4033</v>
      </c>
      <c r="D7" s="18">
        <v>0.17399999999999999</v>
      </c>
      <c r="E7" s="18">
        <v>6.2750000000000004</v>
      </c>
      <c r="F7" s="18">
        <v>12.480600000000001</v>
      </c>
      <c r="G7" s="18">
        <v>0.20039999999999999</v>
      </c>
      <c r="H7" s="18">
        <v>7.0313999999999997</v>
      </c>
      <c r="I7" s="18">
        <v>13.302</v>
      </c>
      <c r="J7" s="18">
        <v>0.2306</v>
      </c>
      <c r="K7" s="18">
        <v>5.9233000000000002</v>
      </c>
      <c r="L7" s="18">
        <v>11.7415</v>
      </c>
      <c r="M7" s="18">
        <v>0.18779999999999999</v>
      </c>
      <c r="N7" s="18"/>
      <c r="O7" s="18">
        <v>7.5442</v>
      </c>
      <c r="P7" s="18">
        <v>11.899699999999999</v>
      </c>
      <c r="Q7" s="18">
        <v>0.1638</v>
      </c>
      <c r="R7" s="18">
        <v>10.2636</v>
      </c>
      <c r="S7" s="18">
        <v>13.9133</v>
      </c>
      <c r="T7" s="18">
        <v>0.20569999999999999</v>
      </c>
      <c r="U7" s="18">
        <v>13.066000000000001</v>
      </c>
      <c r="V7" s="18">
        <v>16.369900000000001</v>
      </c>
      <c r="W7" s="18">
        <v>0.2437</v>
      </c>
      <c r="X7" s="18">
        <v>8.9557000000000002</v>
      </c>
      <c r="Y7" s="18">
        <v>12.896599999999999</v>
      </c>
      <c r="Z7" s="18">
        <v>0.1835</v>
      </c>
    </row>
    <row r="8" spans="1:27" x14ac:dyDescent="0.3">
      <c r="A8" s="16" t="s">
        <v>14</v>
      </c>
      <c r="B8" s="18">
        <v>4.4292999999999996</v>
      </c>
      <c r="C8" s="18">
        <v>8.8003999999999998</v>
      </c>
      <c r="D8" s="18">
        <v>0.1434</v>
      </c>
      <c r="E8" s="18">
        <v>4.5724999999999998</v>
      </c>
      <c r="F8" s="18">
        <v>9.1077999999999992</v>
      </c>
      <c r="G8" s="18">
        <v>0.1497</v>
      </c>
      <c r="H8" s="18">
        <v>4.7434000000000003</v>
      </c>
      <c r="I8" s="18">
        <v>9.3666999999999998</v>
      </c>
      <c r="J8" s="18">
        <v>0.15740000000000001</v>
      </c>
      <c r="K8" s="18">
        <v>4.4821</v>
      </c>
      <c r="L8" s="18">
        <v>8.8609000000000009</v>
      </c>
      <c r="M8" s="18">
        <v>0.1457</v>
      </c>
      <c r="N8" s="18"/>
      <c r="O8" s="18">
        <v>2.6926999999999999</v>
      </c>
      <c r="P8" s="18">
        <v>5.5678999999999998</v>
      </c>
      <c r="Q8" s="18">
        <v>6.5500000000000003E-2</v>
      </c>
      <c r="R8" s="18">
        <v>2.8235999999999999</v>
      </c>
      <c r="S8" s="18">
        <v>5.7739000000000003</v>
      </c>
      <c r="T8" s="18">
        <v>6.8199999999999997E-2</v>
      </c>
      <c r="U8" s="18">
        <v>3.1749999999999998</v>
      </c>
      <c r="V8" s="18">
        <v>6.6927000000000003</v>
      </c>
      <c r="W8" s="18">
        <v>7.9200000000000007E-2</v>
      </c>
      <c r="X8" s="18">
        <v>2.7570000000000001</v>
      </c>
      <c r="Y8" s="18">
        <v>5.6864999999999997</v>
      </c>
      <c r="Z8" s="18">
        <v>6.7100000000000007E-2</v>
      </c>
    </row>
    <row r="9" spans="1:27" x14ac:dyDescent="0.3">
      <c r="A9" s="16" t="s">
        <v>15</v>
      </c>
      <c r="B9" s="18">
        <v>9.7270000000000003</v>
      </c>
      <c r="C9" s="18">
        <v>16.505199999999999</v>
      </c>
      <c r="D9" s="18">
        <v>0.34379999999999999</v>
      </c>
      <c r="E9" s="18">
        <v>9.8080999999999996</v>
      </c>
      <c r="F9" s="18">
        <v>16.614100000000001</v>
      </c>
      <c r="G9" s="18">
        <v>0.3473</v>
      </c>
      <c r="H9" s="18">
        <v>9.7690999999999999</v>
      </c>
      <c r="I9" s="18">
        <v>16.555900000000001</v>
      </c>
      <c r="J9" s="18">
        <v>0.34470000000000001</v>
      </c>
      <c r="K9" s="18">
        <v>9.3432999999999993</v>
      </c>
      <c r="L9" s="18">
        <v>15.821300000000001</v>
      </c>
      <c r="M9" s="18">
        <v>0.32950000000000002</v>
      </c>
      <c r="N9" s="18"/>
      <c r="O9" s="18">
        <v>2.7561</v>
      </c>
      <c r="P9" s="18">
        <v>6.0754999999999999</v>
      </c>
      <c r="Q9" s="18">
        <v>6.6600000000000006E-2</v>
      </c>
      <c r="R9" s="18">
        <v>5.3651999999999997</v>
      </c>
      <c r="S9" s="18">
        <v>10.96</v>
      </c>
      <c r="T9" s="18">
        <v>0.13739999999999999</v>
      </c>
      <c r="U9" s="18">
        <v>7.5915999999999997</v>
      </c>
      <c r="V9" s="18">
        <v>14.026199999999999</v>
      </c>
      <c r="W9" s="18">
        <v>0.1794</v>
      </c>
      <c r="X9" s="18">
        <v>4.7587000000000002</v>
      </c>
      <c r="Y9" s="18">
        <v>9.4617000000000004</v>
      </c>
      <c r="Z9" s="18">
        <v>0.1181</v>
      </c>
    </row>
    <row r="10" spans="1:27" x14ac:dyDescent="0.3">
      <c r="A10" s="16" t="s">
        <v>16</v>
      </c>
      <c r="B10" s="18">
        <v>7.7633999999999999</v>
      </c>
      <c r="C10" s="18">
        <v>12.3057</v>
      </c>
      <c r="D10" s="18">
        <v>0.2167</v>
      </c>
      <c r="E10" s="18">
        <v>7.8586</v>
      </c>
      <c r="F10" s="18">
        <v>12.1823</v>
      </c>
      <c r="G10" s="18">
        <v>0.2263</v>
      </c>
      <c r="H10" s="18">
        <v>8.2851999999999997</v>
      </c>
      <c r="I10" s="18">
        <v>12.7684</v>
      </c>
      <c r="J10" s="18">
        <v>0.23760000000000001</v>
      </c>
      <c r="K10" s="18">
        <v>7.6547000000000001</v>
      </c>
      <c r="L10" s="18">
        <v>11.8263</v>
      </c>
      <c r="M10" s="18">
        <v>0.21909999999999999</v>
      </c>
      <c r="N10" s="18"/>
      <c r="O10" s="18">
        <v>3.2179000000000002</v>
      </c>
      <c r="P10" s="18">
        <v>5.8296000000000001</v>
      </c>
      <c r="Q10" s="18">
        <v>8.5999999999999993E-2</v>
      </c>
      <c r="R10" s="18">
        <v>3.3874</v>
      </c>
      <c r="S10" s="18">
        <v>6.1288999999999998</v>
      </c>
      <c r="T10" s="18">
        <v>9.0499999999999997E-2</v>
      </c>
      <c r="U10" s="18">
        <v>3.6192000000000002</v>
      </c>
      <c r="V10" s="18">
        <v>6.3932000000000002</v>
      </c>
      <c r="W10" s="18">
        <v>9.4799999999999995E-2</v>
      </c>
      <c r="X10" s="18">
        <v>3.3696999999999999</v>
      </c>
      <c r="Y10" s="18">
        <v>5.9187000000000003</v>
      </c>
      <c r="Z10" s="18">
        <v>8.7999999999999995E-2</v>
      </c>
    </row>
    <row r="11" spans="1:27" x14ac:dyDescent="0.3">
      <c r="A11" s="16" t="s">
        <v>17</v>
      </c>
      <c r="B11" s="18">
        <v>4.0602</v>
      </c>
      <c r="C11" s="18">
        <v>8.8020999999999994</v>
      </c>
      <c r="D11" s="18">
        <v>0.13070000000000001</v>
      </c>
      <c r="E11" s="18">
        <v>4.1036000000000001</v>
      </c>
      <c r="F11" s="18">
        <v>8.9444999999999997</v>
      </c>
      <c r="G11" s="18">
        <v>0.13500000000000001</v>
      </c>
      <c r="H11" s="18">
        <v>4.1624999999999996</v>
      </c>
      <c r="I11" s="18">
        <v>9.1015999999999995</v>
      </c>
      <c r="J11" s="18">
        <v>0.1391</v>
      </c>
      <c r="K11" s="18">
        <v>4.1085000000000003</v>
      </c>
      <c r="L11" s="18">
        <v>9.0142000000000007</v>
      </c>
      <c r="M11" s="18">
        <v>0.1361</v>
      </c>
      <c r="N11" s="18"/>
      <c r="O11" s="18">
        <v>2.6606000000000001</v>
      </c>
      <c r="P11" s="18">
        <v>6.0012999999999996</v>
      </c>
      <c r="Q11" s="18">
        <v>6.4399999999999999E-2</v>
      </c>
      <c r="R11" s="18">
        <v>2.9641000000000002</v>
      </c>
      <c r="S11" s="18">
        <v>6.3647999999999998</v>
      </c>
      <c r="T11" s="18">
        <v>7.0199999999999999E-2</v>
      </c>
      <c r="U11" s="18">
        <v>2.9765000000000001</v>
      </c>
      <c r="V11" s="18">
        <v>6.3540999999999999</v>
      </c>
      <c r="W11" s="18">
        <v>7.17E-2</v>
      </c>
      <c r="X11" s="18">
        <v>2.7505999999999999</v>
      </c>
      <c r="Y11" s="18">
        <v>6.0336999999999996</v>
      </c>
      <c r="Z11" s="18">
        <v>6.5799999999999997E-2</v>
      </c>
    </row>
    <row r="12" spans="1:27" x14ac:dyDescent="0.3">
      <c r="A12" s="16" t="s">
        <v>18</v>
      </c>
      <c r="B12" s="18">
        <v>4.7045000000000003</v>
      </c>
      <c r="C12" s="18">
        <v>9.8621999999999996</v>
      </c>
      <c r="D12" s="18">
        <v>0.1671</v>
      </c>
      <c r="E12" s="18">
        <v>4.7596999999999996</v>
      </c>
      <c r="F12" s="18">
        <v>9.8322000000000003</v>
      </c>
      <c r="G12" s="18">
        <v>0.1666</v>
      </c>
      <c r="H12" s="18">
        <v>4.5936000000000003</v>
      </c>
      <c r="I12" s="18">
        <v>9.3252000000000006</v>
      </c>
      <c r="J12" s="18">
        <v>0.1565</v>
      </c>
      <c r="K12" s="18">
        <v>4.6162000000000001</v>
      </c>
      <c r="L12" s="18">
        <v>9.4674999999999994</v>
      </c>
      <c r="M12" s="18">
        <v>0.1585</v>
      </c>
      <c r="N12" s="18"/>
      <c r="O12" s="18">
        <v>2.7517</v>
      </c>
      <c r="P12" s="18">
        <v>5.9184000000000001</v>
      </c>
      <c r="Q12" s="18">
        <v>7.0400000000000004E-2</v>
      </c>
      <c r="R12" s="18">
        <v>2.9832000000000001</v>
      </c>
      <c r="S12" s="18">
        <v>6.2481999999999998</v>
      </c>
      <c r="T12" s="18">
        <v>7.5600000000000001E-2</v>
      </c>
      <c r="U12" s="18">
        <v>3.0388999999999999</v>
      </c>
      <c r="V12" s="18">
        <v>6.5646000000000004</v>
      </c>
      <c r="W12" s="18">
        <v>7.7899999999999997E-2</v>
      </c>
      <c r="X12" s="18">
        <v>2.8481000000000001</v>
      </c>
      <c r="Y12" s="18">
        <v>6.0848000000000004</v>
      </c>
      <c r="Z12" s="18">
        <v>7.2400000000000006E-2</v>
      </c>
    </row>
    <row r="13" spans="1:27" x14ac:dyDescent="0.3">
      <c r="A13" s="16" t="s">
        <v>19</v>
      </c>
      <c r="B13" s="18">
        <v>7.3731999999999998</v>
      </c>
      <c r="C13" s="18">
        <v>13.124599999999999</v>
      </c>
      <c r="D13" s="18">
        <v>0.15909999999999999</v>
      </c>
      <c r="E13" s="18">
        <v>7.6604000000000001</v>
      </c>
      <c r="F13" s="18">
        <v>13.7331</v>
      </c>
      <c r="G13" s="18">
        <v>0.16339999999999999</v>
      </c>
      <c r="H13" s="18">
        <v>7.9009999999999998</v>
      </c>
      <c r="I13" s="18">
        <v>13.755100000000001</v>
      </c>
      <c r="J13" s="18">
        <v>0.1681</v>
      </c>
      <c r="K13" s="18">
        <v>7.4173</v>
      </c>
      <c r="L13" s="18">
        <v>13.257400000000001</v>
      </c>
      <c r="M13" s="18">
        <v>0.1595</v>
      </c>
      <c r="N13" s="18"/>
      <c r="O13" s="18">
        <v>2.8424</v>
      </c>
      <c r="P13" s="18">
        <v>5.5753000000000004</v>
      </c>
      <c r="Q13" s="18">
        <v>6.9599999999999995E-2</v>
      </c>
      <c r="R13" s="18">
        <v>2.8763999999999998</v>
      </c>
      <c r="S13" s="18">
        <v>5.5967000000000002</v>
      </c>
      <c r="T13" s="18">
        <v>7.0400000000000004E-2</v>
      </c>
      <c r="U13" s="18">
        <v>3.1741999999999999</v>
      </c>
      <c r="V13" s="18">
        <v>6.0564999999999998</v>
      </c>
      <c r="W13" s="18">
        <v>7.7700000000000005E-2</v>
      </c>
      <c r="X13" s="18">
        <v>2.8872</v>
      </c>
      <c r="Y13" s="18">
        <v>5.6117999999999997</v>
      </c>
      <c r="Z13" s="18">
        <v>7.0699999999999999E-2</v>
      </c>
    </row>
    <row r="14" spans="1:27" x14ac:dyDescent="0.3">
      <c r="A14" s="16" t="s">
        <v>20</v>
      </c>
      <c r="B14" s="18">
        <v>7.7084000000000001</v>
      </c>
      <c r="C14" s="18">
        <v>12.701599999999999</v>
      </c>
      <c r="D14" s="18">
        <v>0.16350000000000001</v>
      </c>
      <c r="E14" s="18">
        <v>8.1361000000000008</v>
      </c>
      <c r="F14" s="18">
        <v>13.504</v>
      </c>
      <c r="G14" s="18">
        <v>0.17280000000000001</v>
      </c>
      <c r="H14" s="18">
        <v>8.9829000000000008</v>
      </c>
      <c r="I14" s="18">
        <v>14.504200000000001</v>
      </c>
      <c r="J14" s="18">
        <v>0.18990000000000001</v>
      </c>
      <c r="K14" s="18">
        <v>8.0847999999999995</v>
      </c>
      <c r="L14" s="18">
        <v>13.3241</v>
      </c>
      <c r="M14" s="18">
        <v>0.17119999999999999</v>
      </c>
      <c r="N14" s="18"/>
      <c r="O14" s="18">
        <v>2.8782000000000001</v>
      </c>
      <c r="P14" s="18">
        <v>5.4946999999999999</v>
      </c>
      <c r="Q14" s="18">
        <v>7.0499999999999993E-2</v>
      </c>
      <c r="R14" s="18">
        <v>2.9205000000000001</v>
      </c>
      <c r="S14" s="18">
        <v>5.7087000000000003</v>
      </c>
      <c r="T14" s="18">
        <v>7.1599999999999997E-2</v>
      </c>
      <c r="U14" s="18">
        <v>3.2193999999999998</v>
      </c>
      <c r="V14" s="18">
        <v>6.3197000000000001</v>
      </c>
      <c r="W14" s="18">
        <v>7.8899999999999998E-2</v>
      </c>
      <c r="X14" s="18">
        <v>2.9236</v>
      </c>
      <c r="Y14" s="18">
        <v>5.7027999999999999</v>
      </c>
      <c r="Z14" s="18">
        <v>7.17E-2</v>
      </c>
    </row>
    <row r="15" spans="1:27" x14ac:dyDescent="0.3">
      <c r="A15" s="16" t="s">
        <v>21</v>
      </c>
      <c r="B15" s="18">
        <v>7.6721000000000004</v>
      </c>
      <c r="C15" s="18">
        <v>12.6511</v>
      </c>
      <c r="D15" s="18">
        <v>0.16289999999999999</v>
      </c>
      <c r="E15" s="18">
        <v>7.4896000000000003</v>
      </c>
      <c r="F15" s="18">
        <v>13.1235</v>
      </c>
      <c r="G15" s="18">
        <v>0.17349999999999999</v>
      </c>
      <c r="H15" s="18">
        <v>8.8693000000000008</v>
      </c>
      <c r="I15" s="18">
        <v>14.3759</v>
      </c>
      <c r="J15" s="18">
        <v>0.18970000000000001</v>
      </c>
      <c r="K15" s="18">
        <v>7.9261999999999997</v>
      </c>
      <c r="L15" s="18">
        <v>13.1477</v>
      </c>
      <c r="M15" s="18">
        <v>0.16980000000000001</v>
      </c>
      <c r="N15" s="18"/>
      <c r="O15" s="18">
        <v>4.1828000000000003</v>
      </c>
      <c r="P15" s="18">
        <v>6.8590999999999998</v>
      </c>
      <c r="Q15" s="18">
        <v>0.10249999999999999</v>
      </c>
      <c r="R15" s="18">
        <v>4.2709000000000001</v>
      </c>
      <c r="S15" s="18">
        <v>6.9339000000000004</v>
      </c>
      <c r="T15" s="18">
        <v>0.1046</v>
      </c>
      <c r="U15" s="18">
        <v>4.3299000000000003</v>
      </c>
      <c r="V15" s="18">
        <v>7.2919</v>
      </c>
      <c r="W15" s="18">
        <v>0.1061</v>
      </c>
      <c r="X15" s="18">
        <v>4.1340000000000003</v>
      </c>
      <c r="Y15" s="18">
        <v>6.7702999999999998</v>
      </c>
      <c r="Z15" s="18">
        <v>0.1013</v>
      </c>
    </row>
    <row r="16" spans="1:27" x14ac:dyDescent="0.3">
      <c r="A16" s="16" t="s">
        <v>22</v>
      </c>
      <c r="B16" s="18">
        <v>8.2439999999999998</v>
      </c>
      <c r="C16" s="18">
        <v>12.0587</v>
      </c>
      <c r="D16" s="18">
        <v>0.17599999999999999</v>
      </c>
      <c r="E16" s="18">
        <v>8.4025999999999996</v>
      </c>
      <c r="F16" s="18">
        <v>12.3294</v>
      </c>
      <c r="G16" s="18">
        <v>0.17929999999999999</v>
      </c>
      <c r="H16" s="18">
        <v>9.1013000000000002</v>
      </c>
      <c r="I16" s="18">
        <v>13.033899999999999</v>
      </c>
      <c r="J16" s="18">
        <v>0.19420000000000001</v>
      </c>
      <c r="K16" s="18">
        <v>8.3261000000000003</v>
      </c>
      <c r="L16" s="18">
        <v>12.138999999999999</v>
      </c>
      <c r="M16" s="18">
        <v>0.1777</v>
      </c>
      <c r="N16" s="18"/>
      <c r="O16" s="18">
        <v>3.3649</v>
      </c>
      <c r="P16" s="18">
        <v>5.6546000000000003</v>
      </c>
      <c r="Q16" s="18">
        <v>8.2400000000000001E-2</v>
      </c>
      <c r="R16" s="18">
        <v>3.4165000000000001</v>
      </c>
      <c r="S16" s="18">
        <v>5.7380000000000004</v>
      </c>
      <c r="T16" s="18">
        <v>8.3699999999999997E-2</v>
      </c>
      <c r="U16" s="18">
        <v>3.7059000000000002</v>
      </c>
      <c r="V16" s="18">
        <v>6.0964999999999998</v>
      </c>
      <c r="W16" s="18">
        <v>9.0800000000000006E-2</v>
      </c>
      <c r="X16" s="18">
        <v>3.3687999999999998</v>
      </c>
      <c r="Y16" s="18">
        <v>5.6890999999999998</v>
      </c>
      <c r="Z16" s="18">
        <v>8.2500000000000004E-2</v>
      </c>
    </row>
    <row r="17" spans="1:26" x14ac:dyDescent="0.3">
      <c r="A17" s="16" t="s">
        <v>23</v>
      </c>
      <c r="B17" s="18">
        <v>7.94</v>
      </c>
      <c r="C17" s="18">
        <v>11.661300000000001</v>
      </c>
      <c r="D17" s="18">
        <v>0.1694</v>
      </c>
      <c r="E17" s="18">
        <v>8.8425999999999991</v>
      </c>
      <c r="F17" s="18">
        <v>12.5444</v>
      </c>
      <c r="G17" s="18">
        <v>0.18870000000000001</v>
      </c>
      <c r="H17" s="18">
        <v>8.6884999999999994</v>
      </c>
      <c r="I17" s="18">
        <v>12.454800000000001</v>
      </c>
      <c r="J17" s="18">
        <v>0.18540000000000001</v>
      </c>
      <c r="K17" s="18">
        <v>8.7386999999999997</v>
      </c>
      <c r="L17" s="18">
        <v>12.3635</v>
      </c>
      <c r="M17" s="18">
        <v>0.21440000000000001</v>
      </c>
      <c r="N17" s="18"/>
      <c r="O17" s="18">
        <v>5.0587999999999997</v>
      </c>
      <c r="P17" s="18">
        <v>8.8732000000000006</v>
      </c>
      <c r="Q17" s="18">
        <v>0.1239</v>
      </c>
      <c r="R17" s="18">
        <v>5.3018000000000001</v>
      </c>
      <c r="S17" s="18">
        <v>9.1742000000000008</v>
      </c>
      <c r="T17" s="18">
        <v>0.12989999999999999</v>
      </c>
      <c r="U17" s="18">
        <v>3.6309</v>
      </c>
      <c r="V17" s="18">
        <v>6.9673999999999996</v>
      </c>
      <c r="W17" s="18">
        <v>8.8999999999999996E-2</v>
      </c>
      <c r="X17" s="18">
        <v>4.7122000000000002</v>
      </c>
      <c r="Y17" s="18">
        <v>8.3292999999999999</v>
      </c>
      <c r="Z17" s="18">
        <v>0.11550000000000001</v>
      </c>
    </row>
    <row r="18" spans="1:26" x14ac:dyDescent="0.3">
      <c r="A18" s="16" t="s">
        <v>24</v>
      </c>
      <c r="B18" s="18">
        <v>7.7618999999999998</v>
      </c>
      <c r="C18" s="18">
        <v>12.098599999999999</v>
      </c>
      <c r="D18" s="18">
        <v>0.16569999999999999</v>
      </c>
      <c r="E18" s="18">
        <v>8.6516999999999999</v>
      </c>
      <c r="F18" s="18">
        <v>13.0624</v>
      </c>
      <c r="G18" s="18">
        <v>0.18459999999999999</v>
      </c>
      <c r="H18" s="18">
        <v>8.4283000000000001</v>
      </c>
      <c r="I18" s="18">
        <v>12.8924</v>
      </c>
      <c r="J18" s="18">
        <v>0.1799</v>
      </c>
      <c r="K18" s="18">
        <v>8.0716999999999999</v>
      </c>
      <c r="L18" s="18">
        <v>11.7614</v>
      </c>
      <c r="M18" s="18">
        <v>0.17230000000000001</v>
      </c>
      <c r="N18" s="18"/>
      <c r="O18" s="18">
        <v>4.2969999999999997</v>
      </c>
      <c r="P18" s="18">
        <v>8.8671000000000006</v>
      </c>
      <c r="Q18" s="18">
        <v>0.1053</v>
      </c>
      <c r="R18" s="18">
        <v>4.7394999999999996</v>
      </c>
      <c r="S18" s="18">
        <v>9.5533999999999999</v>
      </c>
      <c r="T18" s="18">
        <v>0.11609999999999999</v>
      </c>
      <c r="U18" s="18">
        <v>3.4146999999999998</v>
      </c>
      <c r="V18" s="18">
        <v>7.1332000000000004</v>
      </c>
      <c r="W18" s="18">
        <v>8.3599999999999994E-2</v>
      </c>
      <c r="X18" s="18">
        <v>4.1696999999999997</v>
      </c>
      <c r="Y18" s="18">
        <v>8.5398999999999994</v>
      </c>
      <c r="Z18" s="18">
        <v>0.1022</v>
      </c>
    </row>
    <row r="19" spans="1:26" x14ac:dyDescent="0.3">
      <c r="A19" s="16" t="s">
        <v>25</v>
      </c>
      <c r="B19" s="18">
        <v>7.6797000000000004</v>
      </c>
      <c r="C19" s="18">
        <v>12.1891</v>
      </c>
      <c r="D19" s="18">
        <v>0.16120000000000001</v>
      </c>
      <c r="E19" s="18">
        <v>8.7157999999999998</v>
      </c>
      <c r="F19" s="18">
        <v>13.2599</v>
      </c>
      <c r="G19" s="18">
        <v>0.1802</v>
      </c>
      <c r="H19" s="18">
        <v>8.1595999999999993</v>
      </c>
      <c r="I19" s="18">
        <v>13.141500000000001</v>
      </c>
      <c r="J19" s="18">
        <v>0.1784</v>
      </c>
      <c r="K19" s="18">
        <v>7.8902999999999999</v>
      </c>
      <c r="L19" s="18">
        <v>12.4306</v>
      </c>
      <c r="M19" s="18">
        <v>0.1653</v>
      </c>
      <c r="N19" s="18"/>
      <c r="O19" s="18">
        <v>3.6577000000000002</v>
      </c>
      <c r="P19" s="18">
        <v>7.5545999999999998</v>
      </c>
      <c r="Q19" s="18">
        <v>9.2100000000000001E-2</v>
      </c>
      <c r="R19" s="18">
        <v>4.0414000000000003</v>
      </c>
      <c r="S19" s="18">
        <v>8.4391999999999996</v>
      </c>
      <c r="T19" s="18">
        <v>0.1048</v>
      </c>
      <c r="U19" s="18">
        <v>3.0729000000000002</v>
      </c>
      <c r="V19" s="18">
        <v>6.6162000000000001</v>
      </c>
      <c r="W19" s="18">
        <v>8.7599999999999997E-2</v>
      </c>
      <c r="X19" s="18">
        <v>3.5640000000000001</v>
      </c>
      <c r="Y19" s="18">
        <v>7.4476000000000004</v>
      </c>
      <c r="Z19" s="18">
        <v>9.5699999999999993E-2</v>
      </c>
    </row>
    <row r="20" spans="1:26" x14ac:dyDescent="0.3">
      <c r="A20" s="16" t="s">
        <v>26</v>
      </c>
      <c r="B20" s="18">
        <v>10.008100000000001</v>
      </c>
      <c r="C20" s="18">
        <v>19.535599999999999</v>
      </c>
      <c r="D20" s="18">
        <v>0.1865</v>
      </c>
      <c r="E20" s="18">
        <v>11.4137</v>
      </c>
      <c r="F20" s="18">
        <v>21.241</v>
      </c>
      <c r="G20" s="18">
        <v>0.18890000000000001</v>
      </c>
      <c r="H20" s="18">
        <v>12.111599999999999</v>
      </c>
      <c r="I20" s="18">
        <v>23.283100000000001</v>
      </c>
      <c r="J20" s="18">
        <v>0.19009999999999999</v>
      </c>
      <c r="K20" s="18">
        <v>10.5021</v>
      </c>
      <c r="L20" s="18">
        <v>20.652899999999999</v>
      </c>
      <c r="M20" s="18">
        <v>0.17510000000000001</v>
      </c>
      <c r="N20" s="18"/>
      <c r="O20" s="18">
        <v>2.8704999999999998</v>
      </c>
      <c r="P20" s="18">
        <v>6.2610000000000001</v>
      </c>
      <c r="Q20" s="18">
        <v>7.8100000000000003E-2</v>
      </c>
      <c r="R20" s="18">
        <v>2.9315000000000002</v>
      </c>
      <c r="S20" s="18">
        <v>6.1231</v>
      </c>
      <c r="T20" s="18">
        <v>7.2999999999999995E-2</v>
      </c>
      <c r="U20" s="18">
        <v>3.1644999999999999</v>
      </c>
      <c r="V20" s="18">
        <v>6.5228000000000002</v>
      </c>
      <c r="W20" s="18">
        <v>7.8399999999999997E-2</v>
      </c>
      <c r="X20" s="18">
        <v>2.8731</v>
      </c>
      <c r="Y20" s="18">
        <v>6.0018000000000002</v>
      </c>
      <c r="Z20" s="18">
        <v>7.3200000000000001E-2</v>
      </c>
    </row>
    <row r="21" spans="1:26" x14ac:dyDescent="0.3">
      <c r="A21" s="16" t="s">
        <v>27</v>
      </c>
      <c r="B21" s="18">
        <v>11.4824</v>
      </c>
      <c r="C21" s="18">
        <v>14.0082</v>
      </c>
      <c r="D21" s="18">
        <v>0.31159999999999999</v>
      </c>
      <c r="E21" s="18">
        <v>11.5023</v>
      </c>
      <c r="F21" s="18">
        <v>14.0374</v>
      </c>
      <c r="G21" s="18">
        <v>0.31290000000000001</v>
      </c>
      <c r="H21" s="18">
        <v>11.5212</v>
      </c>
      <c r="I21" s="18">
        <v>14.0572</v>
      </c>
      <c r="J21" s="18">
        <v>0.31369999999999998</v>
      </c>
      <c r="K21" s="18">
        <v>11.075699999999999</v>
      </c>
      <c r="L21" s="18">
        <v>13.739699999999999</v>
      </c>
      <c r="M21" s="18">
        <v>0.30099999999999999</v>
      </c>
      <c r="N21" s="18"/>
      <c r="O21" s="18">
        <v>5.6980000000000004</v>
      </c>
      <c r="P21" s="18">
        <v>9.7177000000000007</v>
      </c>
      <c r="Q21" s="18">
        <v>0.14649999999999999</v>
      </c>
      <c r="R21" s="18">
        <v>5.7211999999999996</v>
      </c>
      <c r="S21" s="18">
        <v>9.7606000000000002</v>
      </c>
      <c r="T21" s="18">
        <v>0.14749999999999999</v>
      </c>
      <c r="U21" s="18">
        <v>5.6685999999999996</v>
      </c>
      <c r="V21" s="18">
        <v>9.6468000000000007</v>
      </c>
      <c r="W21" s="18">
        <v>0.1447</v>
      </c>
      <c r="X21" s="18">
        <v>5.4911000000000003</v>
      </c>
      <c r="Y21" s="18">
        <v>9.5061999999999998</v>
      </c>
      <c r="Z21" s="18">
        <v>0.1409</v>
      </c>
    </row>
    <row r="22" spans="1:26" x14ac:dyDescent="0.3">
      <c r="A22" s="16" t="s">
        <v>28</v>
      </c>
      <c r="B22" s="18">
        <v>3.9973999999999998</v>
      </c>
      <c r="C22" s="18">
        <v>8.5268999999999995</v>
      </c>
      <c r="D22" s="18">
        <v>0.1288</v>
      </c>
      <c r="E22" s="18">
        <v>4.0106999999999999</v>
      </c>
      <c r="F22" s="18">
        <v>8.5599000000000007</v>
      </c>
      <c r="G22" s="18">
        <v>0.1288</v>
      </c>
      <c r="H22" s="18">
        <v>3.9904999999999999</v>
      </c>
      <c r="I22" s="18">
        <v>8.4923999999999999</v>
      </c>
      <c r="J22" s="18">
        <v>0.12839999999999999</v>
      </c>
      <c r="K22" s="18">
        <v>3.9794</v>
      </c>
      <c r="L22" s="18">
        <v>8.4566999999999997</v>
      </c>
      <c r="M22" s="18">
        <v>0.12809999999999999</v>
      </c>
      <c r="N22" s="18"/>
      <c r="O22" s="18">
        <v>2.5232999999999999</v>
      </c>
      <c r="P22" s="18">
        <v>5.6326999999999998</v>
      </c>
      <c r="Q22" s="18">
        <v>5.8599999999999999E-2</v>
      </c>
      <c r="R22" s="18">
        <v>2.5571999999999999</v>
      </c>
      <c r="S22" s="18">
        <v>5.6962999999999999</v>
      </c>
      <c r="T22" s="18">
        <v>5.8700000000000002E-2</v>
      </c>
      <c r="U22" s="18">
        <v>2.6057000000000001</v>
      </c>
      <c r="V22" s="18">
        <v>5.7557999999999998</v>
      </c>
      <c r="W22" s="18">
        <v>6.0400000000000002E-2</v>
      </c>
      <c r="X22" s="18">
        <v>2.5583</v>
      </c>
      <c r="Y22" s="18">
        <v>5.6746999999999996</v>
      </c>
      <c r="Z22" s="18">
        <v>5.9200000000000003E-2</v>
      </c>
    </row>
    <row r="23" spans="1:26" x14ac:dyDescent="0.3">
      <c r="A23" s="17" t="s">
        <v>29</v>
      </c>
      <c r="B23" s="18">
        <v>4.2779999999999996</v>
      </c>
      <c r="C23" s="18">
        <v>8.9427000000000003</v>
      </c>
      <c r="D23" s="18">
        <v>0.12770000000000001</v>
      </c>
      <c r="E23" s="18">
        <v>4.2804000000000002</v>
      </c>
      <c r="F23" s="18">
        <v>8.9427000000000003</v>
      </c>
      <c r="G23" s="18">
        <v>0.12640000000000001</v>
      </c>
      <c r="H23" s="18">
        <v>4.3756000000000004</v>
      </c>
      <c r="I23" s="18">
        <v>9.2627000000000006</v>
      </c>
      <c r="J23" s="18">
        <v>0.1288</v>
      </c>
      <c r="K23" s="18">
        <v>4.2907000000000002</v>
      </c>
      <c r="L23" s="18">
        <v>9.0288000000000004</v>
      </c>
      <c r="M23" s="18">
        <v>0.12659999999999999</v>
      </c>
      <c r="N23" s="18"/>
      <c r="O23" s="18">
        <v>2.5463</v>
      </c>
      <c r="P23" s="18">
        <v>5.6805000000000003</v>
      </c>
      <c r="Q23" s="18">
        <v>6.2199999999999998E-2</v>
      </c>
      <c r="R23" s="18">
        <v>2.5794000000000001</v>
      </c>
      <c r="S23" s="18">
        <v>5.7099000000000002</v>
      </c>
      <c r="T23" s="18">
        <v>6.2700000000000006E-2</v>
      </c>
      <c r="U23" s="18">
        <v>2.6295000000000002</v>
      </c>
      <c r="V23" s="18">
        <v>5.8776000000000002</v>
      </c>
      <c r="W23" s="18">
        <v>6.4100000000000004E-2</v>
      </c>
      <c r="X23" s="18">
        <v>2.5350000000000001</v>
      </c>
      <c r="Y23" s="18">
        <v>5.6639999999999997</v>
      </c>
      <c r="Z23" s="18">
        <v>6.1699999999999998E-2</v>
      </c>
    </row>
    <row r="24" spans="1:26" x14ac:dyDescent="0.3">
      <c r="A24" s="17" t="s">
        <v>30</v>
      </c>
      <c r="B24" s="18">
        <v>5.1021999999999998</v>
      </c>
      <c r="C24" s="18">
        <v>10.3081</v>
      </c>
      <c r="D24" s="18">
        <v>0.14910000000000001</v>
      </c>
      <c r="E24" s="18">
        <v>4.8982999999999999</v>
      </c>
      <c r="F24" s="18">
        <v>9.9114000000000004</v>
      </c>
      <c r="G24" s="18">
        <v>0.15609999999999999</v>
      </c>
      <c r="H24" s="18">
        <v>5.0621</v>
      </c>
      <c r="I24" s="18">
        <v>10.3261</v>
      </c>
      <c r="J24" s="18">
        <v>0.1502</v>
      </c>
      <c r="K24" s="18">
        <v>5.0621</v>
      </c>
      <c r="L24" s="18">
        <v>10.3261</v>
      </c>
      <c r="M24" s="18">
        <v>0.1502</v>
      </c>
      <c r="N24" s="18"/>
      <c r="O24" s="18">
        <v>2.5733000000000001</v>
      </c>
      <c r="P24" s="18">
        <v>5.3834999999999997</v>
      </c>
      <c r="Q24" s="18">
        <v>6.2799999999999995E-2</v>
      </c>
      <c r="R24" s="18">
        <v>2.6970000000000001</v>
      </c>
      <c r="S24" s="18">
        <v>5.5559000000000003</v>
      </c>
      <c r="T24" s="18">
        <v>6.7299999999999999E-2</v>
      </c>
      <c r="U24" s="18">
        <v>2.8243</v>
      </c>
      <c r="V24" s="18">
        <v>5.8163</v>
      </c>
      <c r="W24" s="18">
        <v>6.8404000000000006E-2</v>
      </c>
      <c r="X24" s="18">
        <v>2.5821999999999998</v>
      </c>
      <c r="Y24" s="18">
        <v>5.3704999999999998</v>
      </c>
      <c r="Z24" s="18">
        <v>6.3700000000000007E-2</v>
      </c>
    </row>
    <row r="25" spans="1:26" x14ac:dyDescent="0.3">
      <c r="A25" s="17" t="s">
        <v>31</v>
      </c>
      <c r="B25" s="18">
        <v>9.6245999999999992</v>
      </c>
      <c r="C25" s="18">
        <v>17.424600000000002</v>
      </c>
      <c r="D25" s="18">
        <v>0.26910000000000001</v>
      </c>
      <c r="E25" s="18">
        <v>10.4496</v>
      </c>
      <c r="F25" s="18">
        <v>18.357700000000001</v>
      </c>
      <c r="G25" s="18">
        <v>0.29409999999999997</v>
      </c>
      <c r="H25" s="18">
        <v>12.099399999999999</v>
      </c>
      <c r="I25" s="18">
        <v>20.2241</v>
      </c>
      <c r="J25" s="18">
        <v>0.34399999999999997</v>
      </c>
      <c r="K25" s="18">
        <v>10.2012</v>
      </c>
      <c r="L25" s="18">
        <v>18.166</v>
      </c>
      <c r="M25" s="18">
        <v>0.28260000000000002</v>
      </c>
      <c r="N25" s="18"/>
      <c r="O25" s="18">
        <v>4.0016999999999996</v>
      </c>
      <c r="P25" s="18">
        <v>7.2447999999999997</v>
      </c>
      <c r="Q25" s="18">
        <v>9.5299999999999996E-2</v>
      </c>
      <c r="R25" s="18">
        <v>4.1577000000000002</v>
      </c>
      <c r="S25" s="18">
        <v>7.3042999999999996</v>
      </c>
      <c r="T25" s="18">
        <v>9.5799999999999996E-2</v>
      </c>
      <c r="U25" s="18">
        <v>5.2725999999999997</v>
      </c>
      <c r="V25" s="18">
        <v>8.5485000000000007</v>
      </c>
      <c r="W25" s="18">
        <v>0.11169999999999999</v>
      </c>
      <c r="X25" s="18">
        <v>4.1928000000000001</v>
      </c>
      <c r="Y25" s="18">
        <v>7.4664000000000001</v>
      </c>
      <c r="Z25" s="18">
        <v>9.6600000000000005E-2</v>
      </c>
    </row>
    <row r="26" spans="1:26" x14ac:dyDescent="0.3">
      <c r="A26" s="17" t="s">
        <v>32</v>
      </c>
      <c r="B26" s="18">
        <v>8.3074999999999992</v>
      </c>
      <c r="C26" s="18">
        <v>14.5283</v>
      </c>
      <c r="D26" s="18">
        <v>0.22459999999999999</v>
      </c>
      <c r="E26" s="18">
        <v>8.4254999999999995</v>
      </c>
      <c r="F26" s="18">
        <v>14.6793</v>
      </c>
      <c r="G26" s="18">
        <v>0.22919999999999999</v>
      </c>
      <c r="H26" s="18">
        <v>10.3992</v>
      </c>
      <c r="I26" s="18">
        <v>16.391999999999999</v>
      </c>
      <c r="J26" s="18">
        <v>0.2802</v>
      </c>
      <c r="K26" s="18">
        <v>8.3968000000000007</v>
      </c>
      <c r="L26" s="18">
        <v>14.3248</v>
      </c>
      <c r="M26" s="18">
        <v>0.2311</v>
      </c>
      <c r="N26" s="18"/>
      <c r="O26" s="18">
        <v>3.4788000000000001</v>
      </c>
      <c r="P26" s="18">
        <v>6.5266000000000002</v>
      </c>
      <c r="Q26" s="18">
        <v>8.5999999999999993E-2</v>
      </c>
      <c r="R26" s="18">
        <v>3.4150999999999998</v>
      </c>
      <c r="S26" s="18">
        <v>6.3571999999999997</v>
      </c>
      <c r="T26" s="18">
        <v>8.3199999999999996E-2</v>
      </c>
      <c r="U26" s="18">
        <v>4.7232000000000003</v>
      </c>
      <c r="V26" s="18">
        <v>8.4746000000000006</v>
      </c>
      <c r="W26" s="18">
        <v>0.11459999999999999</v>
      </c>
      <c r="X26" s="18">
        <v>3.5529999999999999</v>
      </c>
      <c r="Y26" s="18">
        <v>6.6855000000000002</v>
      </c>
      <c r="Z26" s="18">
        <v>8.7999999999999995E-2</v>
      </c>
    </row>
    <row r="27" spans="1:26" x14ac:dyDescent="0.3">
      <c r="A27" s="17" t="s">
        <v>33</v>
      </c>
      <c r="B27" s="18">
        <v>7.7801999999999998</v>
      </c>
      <c r="C27" s="18">
        <v>14.5863</v>
      </c>
      <c r="D27" s="18">
        <v>0.18990000000000001</v>
      </c>
      <c r="E27" s="18">
        <v>7.9650999999999996</v>
      </c>
      <c r="F27" s="18">
        <v>14.6911</v>
      </c>
      <c r="G27" s="18">
        <v>0.1913</v>
      </c>
      <c r="H27" s="18">
        <v>7.3925999999999998</v>
      </c>
      <c r="I27" s="18">
        <v>13.5791</v>
      </c>
      <c r="J27" s="18">
        <v>0.18229999999999999</v>
      </c>
      <c r="K27" s="18">
        <v>7.8757000000000001</v>
      </c>
      <c r="L27" s="18">
        <v>14.8147</v>
      </c>
      <c r="M27" s="18">
        <v>0.19020000000000001</v>
      </c>
      <c r="N27" s="18"/>
      <c r="O27" s="18">
        <v>2.7557999999999998</v>
      </c>
      <c r="P27" s="18">
        <v>5.4717000000000002</v>
      </c>
      <c r="Q27" s="18">
        <v>6.2700000000000006E-2</v>
      </c>
      <c r="R27" s="18">
        <v>2.8014000000000001</v>
      </c>
      <c r="S27" s="18">
        <v>5.5422000000000002</v>
      </c>
      <c r="T27" s="18">
        <v>6.3500000000000001E-2</v>
      </c>
      <c r="U27" s="18">
        <v>2.8331</v>
      </c>
      <c r="V27" s="18">
        <v>5.6546000000000003</v>
      </c>
      <c r="W27" s="18">
        <v>6.3100000000000003E-2</v>
      </c>
      <c r="X27" s="18">
        <v>2.7633000000000001</v>
      </c>
      <c r="Y27" s="18">
        <v>5.4961000000000002</v>
      </c>
      <c r="Z27" s="18">
        <v>6.2399999999999997E-2</v>
      </c>
    </row>
    <row r="28" spans="1:26" x14ac:dyDescent="0.3">
      <c r="A28" s="17" t="s">
        <v>34</v>
      </c>
      <c r="B28" s="18">
        <v>6.5339999999999998</v>
      </c>
      <c r="C28" s="18">
        <v>10.185</v>
      </c>
      <c r="D28" s="18">
        <v>0.18690000000000001</v>
      </c>
      <c r="E28" s="18">
        <v>6.2952000000000004</v>
      </c>
      <c r="F28" s="18">
        <v>9.8818000000000001</v>
      </c>
      <c r="G28" s="18">
        <v>0.18679999999999999</v>
      </c>
      <c r="H28" s="18">
        <v>6.3418999999999999</v>
      </c>
      <c r="I28" s="18">
        <v>9.9293999999999993</v>
      </c>
      <c r="J28" s="18">
        <v>0.18840000000000001</v>
      </c>
      <c r="K28" s="18">
        <v>6.3710000000000004</v>
      </c>
      <c r="L28" s="18">
        <v>10.1495</v>
      </c>
      <c r="M28" s="18">
        <v>0.18310000000000001</v>
      </c>
      <c r="N28" s="18"/>
      <c r="O28" s="18">
        <v>3.2246000000000001</v>
      </c>
      <c r="P28" s="18">
        <v>5.9539</v>
      </c>
      <c r="Q28" s="18">
        <v>7.9299999999999995E-2</v>
      </c>
      <c r="R28" s="18">
        <v>3.2650000000000001</v>
      </c>
      <c r="S28" s="18">
        <v>5.9654999999999996</v>
      </c>
      <c r="T28" s="18">
        <v>7.9399999999999998E-2</v>
      </c>
      <c r="U28" s="18">
        <v>3.3331</v>
      </c>
      <c r="V28" s="18">
        <v>6.2464000000000004</v>
      </c>
      <c r="W28" s="18">
        <v>8.3000000000000004E-2</v>
      </c>
      <c r="X28" s="18">
        <v>3.2541000000000002</v>
      </c>
      <c r="Y28" s="18">
        <v>6.0044000000000004</v>
      </c>
      <c r="Z28" s="18">
        <v>7.9600000000000004E-2</v>
      </c>
    </row>
    <row r="29" spans="1:26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4.25" customHeight="1" x14ac:dyDescent="0.3">
      <c r="A31" s="16"/>
      <c r="B31" s="30" t="s">
        <v>35</v>
      </c>
      <c r="C31" s="30"/>
      <c r="D31" s="30"/>
      <c r="E31" s="30" t="s">
        <v>36</v>
      </c>
      <c r="F31" s="30"/>
      <c r="G31" s="30"/>
      <c r="H31" s="30" t="s">
        <v>37</v>
      </c>
      <c r="I31" s="30"/>
      <c r="J31" s="30"/>
      <c r="K31" s="30" t="s">
        <v>4</v>
      </c>
      <c r="L31" s="30"/>
      <c r="M31" s="30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x14ac:dyDescent="0.3">
      <c r="A32" s="16" t="s">
        <v>38</v>
      </c>
      <c r="B32" s="16" t="s">
        <v>6</v>
      </c>
      <c r="C32" s="16" t="s">
        <v>7</v>
      </c>
      <c r="D32" s="16" t="s">
        <v>8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x14ac:dyDescent="0.3">
      <c r="A33" s="16" t="s">
        <v>10</v>
      </c>
      <c r="B33" s="16">
        <v>12.6875</v>
      </c>
      <c r="C33" s="16">
        <v>21.542899999999999</v>
      </c>
      <c r="D33" s="19">
        <v>8.2900000000000001E-2</v>
      </c>
      <c r="E33" s="16">
        <v>13.545999999999999</v>
      </c>
      <c r="F33" s="16">
        <v>23.3599</v>
      </c>
      <c r="G33" s="19">
        <v>8.8400000000000006E-2</v>
      </c>
      <c r="H33" s="16">
        <v>14.8931</v>
      </c>
      <c r="I33" s="16">
        <v>25.6738</v>
      </c>
      <c r="J33" s="19">
        <v>9.7900000000000001E-2</v>
      </c>
      <c r="K33" s="16">
        <v>13.5565</v>
      </c>
      <c r="L33" s="16">
        <v>23.3108</v>
      </c>
      <c r="M33" s="19">
        <v>8.8700000000000001E-2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x14ac:dyDescent="0.3">
      <c r="A34" s="16" t="s">
        <v>17</v>
      </c>
      <c r="B34" s="16">
        <v>13.1555</v>
      </c>
      <c r="C34" s="16">
        <v>21.564699999999998</v>
      </c>
      <c r="D34" s="19">
        <v>8.7499999999999994E-2</v>
      </c>
      <c r="E34" s="16">
        <v>14.337999999999999</v>
      </c>
      <c r="F34" s="16">
        <v>23.63843</v>
      </c>
      <c r="G34" s="19">
        <v>9.3399999999999997E-2</v>
      </c>
      <c r="H34" s="16">
        <v>14.338200000000001</v>
      </c>
      <c r="I34" s="16">
        <v>23.638400000000001</v>
      </c>
      <c r="J34" s="19">
        <v>0.1037</v>
      </c>
      <c r="K34" s="16">
        <v>14.3817</v>
      </c>
      <c r="L34" s="16">
        <v>23.675799999999999</v>
      </c>
      <c r="M34" s="19">
        <v>9.3799999999999994E-2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x14ac:dyDescent="0.3">
      <c r="A35" s="16" t="s">
        <v>39</v>
      </c>
      <c r="B35" s="16">
        <v>15.3177</v>
      </c>
      <c r="C35" s="16">
        <v>22.984000000000002</v>
      </c>
      <c r="D35" s="19">
        <v>0.10059999999999999</v>
      </c>
      <c r="E35" s="16">
        <v>16.366800000000001</v>
      </c>
      <c r="F35" s="16">
        <v>25.686199999999999</v>
      </c>
      <c r="G35" s="19">
        <v>0.1051</v>
      </c>
      <c r="H35" s="16">
        <v>17.809200000000001</v>
      </c>
      <c r="I35" s="16">
        <v>28.102</v>
      </c>
      <c r="J35" s="19">
        <v>0.10630000000000001</v>
      </c>
      <c r="K35" s="16">
        <v>16.5898</v>
      </c>
      <c r="L35" s="16">
        <v>25.907</v>
      </c>
      <c r="M35" s="19">
        <v>0.105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x14ac:dyDescent="0.3">
      <c r="A36" s="16" t="s">
        <v>14</v>
      </c>
      <c r="B36" s="16">
        <v>15.9458</v>
      </c>
      <c r="C36" s="16">
        <v>24.279599999999999</v>
      </c>
      <c r="D36" s="19">
        <v>0.1087</v>
      </c>
      <c r="E36" s="16">
        <v>17.1937</v>
      </c>
      <c r="F36" s="16">
        <v>26.449200000000001</v>
      </c>
      <c r="G36" s="19">
        <v>0.1154</v>
      </c>
      <c r="H36" s="16">
        <v>20.046099999999999</v>
      </c>
      <c r="I36" s="16">
        <v>30.670100000000001</v>
      </c>
      <c r="J36" s="19">
        <v>0.1321</v>
      </c>
      <c r="K36" s="16">
        <v>17.4039</v>
      </c>
      <c r="L36" s="16">
        <v>26.7898</v>
      </c>
      <c r="M36" s="19">
        <v>0.1163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x14ac:dyDescent="0.3">
      <c r="A37" s="16" t="s">
        <v>18</v>
      </c>
      <c r="B37" s="16">
        <v>14.029</v>
      </c>
      <c r="C37" s="16">
        <v>22.101199999999999</v>
      </c>
      <c r="D37" s="19">
        <v>9.8699999999999996E-2</v>
      </c>
      <c r="E37" s="16">
        <v>15.3497</v>
      </c>
      <c r="F37" s="16">
        <v>24.271699999999999</v>
      </c>
      <c r="G37" s="19">
        <v>0.1142</v>
      </c>
      <c r="H37" s="16">
        <v>17.578900000000001</v>
      </c>
      <c r="I37" s="16">
        <v>27.524000000000001</v>
      </c>
      <c r="J37" s="19">
        <v>0.13270000000000001</v>
      </c>
      <c r="K37" s="16">
        <v>15.422000000000001</v>
      </c>
      <c r="L37" s="16">
        <v>24.367699999999999</v>
      </c>
      <c r="M37" s="19">
        <v>0.1139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x14ac:dyDescent="0.3">
      <c r="A38" s="16" t="s">
        <v>14</v>
      </c>
      <c r="B38" s="16">
        <v>15.9458</v>
      </c>
      <c r="C38" s="16">
        <v>24.279599999999999</v>
      </c>
      <c r="D38" s="19">
        <v>0.1087</v>
      </c>
      <c r="E38" s="16">
        <v>17.1937</v>
      </c>
      <c r="F38" s="16">
        <v>26.449200000000001</v>
      </c>
      <c r="G38" s="19">
        <v>0.1154</v>
      </c>
      <c r="H38" s="16">
        <v>20.046099999999999</v>
      </c>
      <c r="I38" s="16">
        <v>30.670100000000001</v>
      </c>
      <c r="J38" s="19">
        <v>0.1321</v>
      </c>
      <c r="K38" s="16">
        <v>17.4039</v>
      </c>
      <c r="L38" s="16">
        <v>26.7898</v>
      </c>
      <c r="M38" s="19">
        <v>0.1163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x14ac:dyDescent="0.3">
      <c r="A39" s="16" t="s">
        <v>30</v>
      </c>
      <c r="B39" s="16">
        <v>15.5602</v>
      </c>
      <c r="C39" s="16">
        <v>24.392299999999999</v>
      </c>
      <c r="D39" s="19">
        <v>0.1095</v>
      </c>
      <c r="E39" s="16">
        <v>17.2743</v>
      </c>
      <c r="F39" s="16">
        <v>27.530899999999999</v>
      </c>
      <c r="G39" s="19">
        <v>0.1094</v>
      </c>
      <c r="H39" s="16">
        <v>20.712800000000001</v>
      </c>
      <c r="I39" s="16">
        <v>33.062899999999999</v>
      </c>
      <c r="J39" s="19">
        <v>0.1356</v>
      </c>
      <c r="K39" s="16">
        <v>17.459399999999999</v>
      </c>
      <c r="L39" s="16">
        <v>27.937799999999999</v>
      </c>
      <c r="M39" s="19">
        <v>0.1154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x14ac:dyDescent="0.3">
      <c r="A41" s="16" t="s">
        <v>40</v>
      </c>
      <c r="B41" s="16" t="s">
        <v>6</v>
      </c>
      <c r="C41" s="16" t="s">
        <v>41</v>
      </c>
      <c r="D41" s="19" t="s">
        <v>42</v>
      </c>
      <c r="E41" s="16" t="s">
        <v>43</v>
      </c>
      <c r="F41" s="16" t="s">
        <v>6</v>
      </c>
      <c r="G41" s="19" t="s">
        <v>41</v>
      </c>
      <c r="H41" s="16" t="s">
        <v>42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x14ac:dyDescent="0.3">
      <c r="A42" s="20" t="s">
        <v>14</v>
      </c>
      <c r="B42" s="21">
        <f>Sheet2!E4</f>
        <v>4.7434000000000003</v>
      </c>
      <c r="C42" s="21">
        <v>4.5933999999999999</v>
      </c>
      <c r="D42" s="21">
        <v>1.4529000000000001</v>
      </c>
      <c r="E42" s="21"/>
      <c r="F42" s="21">
        <f>Sheet2!E5</f>
        <v>3.1749999999999998</v>
      </c>
      <c r="G42" s="21">
        <v>3.1791</v>
      </c>
      <c r="H42" s="21">
        <v>0.97840000000000005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x14ac:dyDescent="0.3">
      <c r="A43" s="22" t="s">
        <v>17</v>
      </c>
      <c r="B43" s="23">
        <f>Sheet2!E6</f>
        <v>4.1624999999999996</v>
      </c>
      <c r="C43" s="23">
        <v>4.1443000000000003</v>
      </c>
      <c r="D43" s="23">
        <v>1.9380999999999999</v>
      </c>
      <c r="E43" s="22"/>
      <c r="F43" s="23">
        <f>Sheet2!E7</f>
        <v>2.9765000000000001</v>
      </c>
      <c r="G43" s="23">
        <v>2.9805999999999999</v>
      </c>
      <c r="H43" s="23">
        <v>1.3906000000000001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x14ac:dyDescent="0.3">
      <c r="A44" s="24" t="s">
        <v>39</v>
      </c>
      <c r="B44" s="25">
        <f>Sheet2!E8</f>
        <v>3.9904999999999999</v>
      </c>
      <c r="C44" s="25">
        <v>3.9590000000000001</v>
      </c>
      <c r="D44" s="25">
        <v>1.3057000000000001</v>
      </c>
      <c r="E44" s="24"/>
      <c r="F44" s="25">
        <f>Sheet2!E9</f>
        <v>2.6057000000000001</v>
      </c>
      <c r="G44" s="25">
        <v>2.6110000000000002</v>
      </c>
      <c r="H44" s="25">
        <v>0.57609999999999995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x14ac:dyDescent="0.3">
      <c r="A45" s="22" t="s">
        <v>30</v>
      </c>
      <c r="B45" s="23">
        <f>Sheet2!E10</f>
        <v>5.0621</v>
      </c>
      <c r="C45" s="23">
        <v>5.1430999999999996</v>
      </c>
      <c r="D45" s="23">
        <v>1.1516999999999999</v>
      </c>
      <c r="E45" s="22"/>
      <c r="F45" s="23">
        <f>Sheet2!E11</f>
        <v>2.8243</v>
      </c>
      <c r="G45" s="23">
        <v>2.7391000000000001</v>
      </c>
      <c r="H45" s="23">
        <v>1.0054000000000001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x14ac:dyDescent="0.3">
      <c r="A46" s="22" t="s">
        <v>34</v>
      </c>
      <c r="B46" s="23">
        <f>Sheet2!E12</f>
        <v>6.3418999999999999</v>
      </c>
      <c r="C46" s="23">
        <v>5.1890000000000001</v>
      </c>
      <c r="D46" s="23">
        <v>3.1514000000000002</v>
      </c>
      <c r="E46" s="22"/>
      <c r="F46" s="23">
        <f>Sheet2!E13</f>
        <v>3.3331</v>
      </c>
      <c r="G46" s="23">
        <v>3.0678000000000001</v>
      </c>
      <c r="H46" s="23">
        <v>1.1840999999999999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x14ac:dyDescent="0.3">
      <c r="A47" s="22" t="s">
        <v>18</v>
      </c>
      <c r="B47" s="23">
        <f>Sheet2!E14</f>
        <v>4.5936000000000003</v>
      </c>
      <c r="C47" s="23">
        <v>6.2538999999999998</v>
      </c>
      <c r="D47" s="23">
        <v>1.3783000000000001</v>
      </c>
      <c r="E47" s="22"/>
      <c r="F47" s="23">
        <f>Sheet2!E15</f>
        <v>3.0388999999999999</v>
      </c>
      <c r="G47" s="23">
        <v>2.7113</v>
      </c>
      <c r="H47" s="23">
        <v>0.83499999999999996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x14ac:dyDescent="0.3">
      <c r="A48" s="22" t="s">
        <v>44</v>
      </c>
      <c r="B48" s="23">
        <f>Sheet2!E16</f>
        <v>10.3992</v>
      </c>
      <c r="C48" s="23">
        <v>8.5559999999999992</v>
      </c>
      <c r="D48" s="23">
        <v>2.5602999999999998</v>
      </c>
      <c r="E48" s="22"/>
      <c r="F48" s="23">
        <f>Sheet2!E17</f>
        <v>4.7232000000000003</v>
      </c>
      <c r="G48" s="23">
        <v>4.1971999999999996</v>
      </c>
      <c r="H48" s="23">
        <v>1.4843999999999999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x14ac:dyDescent="0.3">
      <c r="A49" s="22" t="s">
        <v>10</v>
      </c>
      <c r="B49" s="23">
        <f>Sheet2!E18</f>
        <v>4.1618300000000001</v>
      </c>
      <c r="C49" s="23">
        <v>4.0336999999999996</v>
      </c>
      <c r="D49" s="23">
        <v>2.2145000000000001</v>
      </c>
      <c r="E49" s="22"/>
      <c r="F49" s="23">
        <f>Sheet2!E19</f>
        <v>2.50719</v>
      </c>
      <c r="G49" s="23">
        <v>2.4291999999999998</v>
      </c>
      <c r="H49" s="23">
        <v>0.93689999999999996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x14ac:dyDescent="0.3">
      <c r="A50" s="26" t="s">
        <v>29</v>
      </c>
      <c r="B50" s="27">
        <f>Sheet2!E20</f>
        <v>4.3756000000000004</v>
      </c>
      <c r="C50" s="27">
        <v>4.1951999999999998</v>
      </c>
      <c r="D50" s="27">
        <v>1.3738999999999999</v>
      </c>
      <c r="E50" s="26"/>
      <c r="F50" s="27">
        <f>Sheet2!E21</f>
        <v>2.6295000000000002</v>
      </c>
      <c r="G50" s="27">
        <v>2.5649999999999999</v>
      </c>
      <c r="H50" s="27">
        <v>0.96509999999999996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x14ac:dyDescent="0.3">
      <c r="A51" s="28" t="s">
        <v>45</v>
      </c>
      <c r="B51" s="28" t="s">
        <v>40</v>
      </c>
      <c r="C51" s="28" t="s">
        <v>43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x14ac:dyDescent="0.3">
      <c r="A52" s="16" t="s">
        <v>18</v>
      </c>
      <c r="B52" s="16">
        <v>1.3384</v>
      </c>
      <c r="C52" s="16">
        <v>1.4489000000000001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x14ac:dyDescent="0.3">
      <c r="A53" s="16" t="s">
        <v>34</v>
      </c>
      <c r="B53" s="16">
        <v>20.473700000000001</v>
      </c>
      <c r="C53" s="16">
        <v>59.868699999999997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x14ac:dyDescent="0.3">
      <c r="A54" s="16" t="s">
        <v>30</v>
      </c>
      <c r="B54" s="16">
        <v>20.558399999999999</v>
      </c>
      <c r="C54" s="16">
        <v>53.510899999999999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x14ac:dyDescent="0.3">
      <c r="A55" s="16" t="s">
        <v>33</v>
      </c>
      <c r="B55" s="16">
        <v>68.676900000000003</v>
      </c>
      <c r="C55" s="16">
        <v>156.14189999999999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x14ac:dyDescent="0.3">
      <c r="A56" s="16" t="s">
        <v>10</v>
      </c>
      <c r="B56" s="16">
        <v>222.43530000000001</v>
      </c>
      <c r="C56" s="16">
        <v>323.76679999999999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x14ac:dyDescent="0.3">
      <c r="A57" s="16" t="s">
        <v>32</v>
      </c>
      <c r="B57" s="16">
        <v>9.3999000000000006</v>
      </c>
      <c r="C57" s="16">
        <v>29.798400000000001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x14ac:dyDescent="0.3">
      <c r="A58" s="16" t="s">
        <v>29</v>
      </c>
      <c r="B58" s="16">
        <v>24.117999999999999</v>
      </c>
      <c r="C58" s="16">
        <v>59.463900000000002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</sheetData>
  <mergeCells count="12">
    <mergeCell ref="R1:T1"/>
    <mergeCell ref="U1:W1"/>
    <mergeCell ref="X1:Z1"/>
    <mergeCell ref="B31:D31"/>
    <mergeCell ref="E31:G31"/>
    <mergeCell ref="H31:J31"/>
    <mergeCell ref="K31:M31"/>
    <mergeCell ref="B1:D1"/>
    <mergeCell ref="E1:G1"/>
    <mergeCell ref="H1:J1"/>
    <mergeCell ref="K1:M1"/>
    <mergeCell ref="O1:Q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workbookViewId="0">
      <selection sqref="A1:H1"/>
    </sheetView>
  </sheetViews>
  <sheetFormatPr defaultColWidth="9" defaultRowHeight="14" x14ac:dyDescent="0.25"/>
  <cols>
    <col min="1" max="1" width="14" customWidth="1"/>
    <col min="2" max="2" width="13" customWidth="1"/>
    <col min="3" max="6" width="16" customWidth="1"/>
    <col min="7" max="7" width="20" customWidth="1"/>
    <col min="8" max="8" width="48" customWidth="1"/>
  </cols>
  <sheetData>
    <row r="1" spans="1:8" ht="13.5" customHeight="1" x14ac:dyDescent="0.25">
      <c r="A1" s="31" t="s">
        <v>46</v>
      </c>
      <c r="B1" s="31"/>
      <c r="C1" s="31"/>
      <c r="D1" s="31"/>
      <c r="E1" s="31"/>
      <c r="F1" s="31"/>
      <c r="G1" s="31"/>
      <c r="H1" s="31"/>
    </row>
    <row r="3" spans="1:8" ht="39.65" customHeight="1" x14ac:dyDescent="0.25">
      <c r="A3" s="7" t="s">
        <v>47</v>
      </c>
      <c r="B3" s="8" t="s">
        <v>48</v>
      </c>
      <c r="C3" s="8" t="s">
        <v>49</v>
      </c>
      <c r="D3" s="8" t="s">
        <v>50</v>
      </c>
      <c r="E3" s="8" t="s">
        <v>51</v>
      </c>
      <c r="F3" s="8" t="s">
        <v>52</v>
      </c>
      <c r="G3" s="8" t="s">
        <v>53</v>
      </c>
      <c r="H3" s="9" t="s">
        <v>54</v>
      </c>
    </row>
    <row r="4" spans="1:8" ht="26.4" customHeight="1" x14ac:dyDescent="0.25">
      <c r="A4" s="10" t="s">
        <v>14</v>
      </c>
      <c r="B4" s="11" t="s">
        <v>40</v>
      </c>
      <c r="C4" s="12">
        <v>4.7434000000000003</v>
      </c>
      <c r="D4" s="12">
        <v>4.7434000000000003</v>
      </c>
      <c r="E4" s="12">
        <f t="shared" ref="E4:E21" si="0">C4</f>
        <v>4.7434000000000003</v>
      </c>
      <c r="F4" s="12">
        <f t="shared" ref="F4:F21" si="1">D4-C4</f>
        <v>0</v>
      </c>
      <c r="G4" s="11" t="s">
        <v>55</v>
      </c>
      <c r="H4" s="4" t="s">
        <v>56</v>
      </c>
    </row>
    <row r="5" spans="1:8" ht="26.4" customHeight="1" x14ac:dyDescent="0.25">
      <c r="A5" s="10" t="s">
        <v>14</v>
      </c>
      <c r="B5" s="11" t="s">
        <v>43</v>
      </c>
      <c r="C5" s="12">
        <v>3.1749999999999998</v>
      </c>
      <c r="D5" s="12">
        <v>3.1749999999999998</v>
      </c>
      <c r="E5" s="12">
        <f t="shared" si="0"/>
        <v>3.1749999999999998</v>
      </c>
      <c r="F5" s="12">
        <f t="shared" si="1"/>
        <v>0</v>
      </c>
      <c r="G5" s="11" t="s">
        <v>55</v>
      </c>
      <c r="H5" s="4" t="s">
        <v>56</v>
      </c>
    </row>
    <row r="6" spans="1:8" ht="26.4" customHeight="1" x14ac:dyDescent="0.25">
      <c r="A6" s="10" t="s">
        <v>17</v>
      </c>
      <c r="B6" s="11" t="s">
        <v>40</v>
      </c>
      <c r="C6" s="12">
        <v>4.1624999999999996</v>
      </c>
      <c r="D6" s="12">
        <v>4.1624999999999996</v>
      </c>
      <c r="E6" s="12">
        <f t="shared" si="0"/>
        <v>4.1624999999999996</v>
      </c>
      <c r="F6" s="12">
        <f t="shared" si="1"/>
        <v>0</v>
      </c>
      <c r="G6" s="11" t="s">
        <v>55</v>
      </c>
      <c r="H6" s="4" t="s">
        <v>56</v>
      </c>
    </row>
    <row r="7" spans="1:8" ht="26.4" customHeight="1" x14ac:dyDescent="0.25">
      <c r="A7" s="10" t="s">
        <v>17</v>
      </c>
      <c r="B7" s="11" t="s">
        <v>43</v>
      </c>
      <c r="C7" s="12">
        <v>2.9765000000000001</v>
      </c>
      <c r="D7" s="12">
        <v>2.9765000000000001</v>
      </c>
      <c r="E7" s="12">
        <f t="shared" si="0"/>
        <v>2.9765000000000001</v>
      </c>
      <c r="F7" s="12">
        <f t="shared" si="1"/>
        <v>0</v>
      </c>
      <c r="G7" s="11" t="s">
        <v>55</v>
      </c>
      <c r="H7" s="4" t="s">
        <v>56</v>
      </c>
    </row>
    <row r="8" spans="1:8" ht="79.25" customHeight="1" x14ac:dyDescent="0.25">
      <c r="A8" s="10" t="s">
        <v>39</v>
      </c>
      <c r="B8" s="11" t="s">
        <v>40</v>
      </c>
      <c r="C8" s="12">
        <v>3.9904999999999999</v>
      </c>
      <c r="D8" s="12">
        <v>3.9897</v>
      </c>
      <c r="E8" s="12">
        <f t="shared" si="0"/>
        <v>3.9904999999999999</v>
      </c>
      <c r="F8" s="12">
        <f t="shared" si="1"/>
        <v>-7.99999999999912E-4</v>
      </c>
      <c r="G8" s="11" t="s">
        <v>55</v>
      </c>
      <c r="H8" s="4" t="s">
        <v>57</v>
      </c>
    </row>
    <row r="9" spans="1:8" ht="79.25" customHeight="1" x14ac:dyDescent="0.25">
      <c r="A9" s="10" t="s">
        <v>39</v>
      </c>
      <c r="B9" s="11" t="s">
        <v>43</v>
      </c>
      <c r="C9" s="12">
        <v>2.6057000000000001</v>
      </c>
      <c r="D9" s="12">
        <v>2.6069</v>
      </c>
      <c r="E9" s="12">
        <f t="shared" si="0"/>
        <v>2.6057000000000001</v>
      </c>
      <c r="F9" s="12">
        <f t="shared" si="1"/>
        <v>1.19999999999987E-3</v>
      </c>
      <c r="G9" s="11" t="s">
        <v>55</v>
      </c>
      <c r="H9" s="4" t="s">
        <v>57</v>
      </c>
    </row>
    <row r="10" spans="1:8" ht="26.4" customHeight="1" x14ac:dyDescent="0.25">
      <c r="A10" s="10" t="s">
        <v>30</v>
      </c>
      <c r="B10" s="11" t="s">
        <v>40</v>
      </c>
      <c r="C10" s="12">
        <v>5.0621</v>
      </c>
      <c r="D10" s="12">
        <v>5.0621</v>
      </c>
      <c r="E10" s="12">
        <f t="shared" si="0"/>
        <v>5.0621</v>
      </c>
      <c r="F10" s="12">
        <f t="shared" si="1"/>
        <v>0</v>
      </c>
      <c r="G10" s="11" t="s">
        <v>58</v>
      </c>
      <c r="H10" s="4" t="s">
        <v>56</v>
      </c>
    </row>
    <row r="11" spans="1:8" ht="26.4" customHeight="1" x14ac:dyDescent="0.25">
      <c r="A11" s="10" t="s">
        <v>30</v>
      </c>
      <c r="B11" s="11" t="s">
        <v>43</v>
      </c>
      <c r="C11" s="12">
        <v>2.8243</v>
      </c>
      <c r="D11" s="12">
        <v>2.8243</v>
      </c>
      <c r="E11" s="12">
        <f t="shared" si="0"/>
        <v>2.8243</v>
      </c>
      <c r="F11" s="12">
        <f t="shared" si="1"/>
        <v>0</v>
      </c>
      <c r="G11" s="11" t="s">
        <v>58</v>
      </c>
      <c r="H11" s="4" t="s">
        <v>56</v>
      </c>
    </row>
    <row r="12" spans="1:8" ht="26.4" customHeight="1" x14ac:dyDescent="0.25">
      <c r="A12" s="10" t="s">
        <v>34</v>
      </c>
      <c r="B12" s="11" t="s">
        <v>40</v>
      </c>
      <c r="C12" s="12">
        <v>6.3418999999999999</v>
      </c>
      <c r="D12" s="12">
        <v>6.3418999999999999</v>
      </c>
      <c r="E12" s="12">
        <f t="shared" si="0"/>
        <v>6.3418999999999999</v>
      </c>
      <c r="F12" s="12">
        <f t="shared" si="1"/>
        <v>0</v>
      </c>
      <c r="G12" s="11" t="s">
        <v>58</v>
      </c>
      <c r="H12" s="4" t="s">
        <v>56</v>
      </c>
    </row>
    <row r="13" spans="1:8" ht="26.4" customHeight="1" x14ac:dyDescent="0.25">
      <c r="A13" s="10" t="s">
        <v>34</v>
      </c>
      <c r="B13" s="11" t="s">
        <v>43</v>
      </c>
      <c r="C13" s="12">
        <v>3.3331</v>
      </c>
      <c r="D13" s="12">
        <v>3.3331</v>
      </c>
      <c r="E13" s="12">
        <f t="shared" si="0"/>
        <v>3.3331</v>
      </c>
      <c r="F13" s="12">
        <f t="shared" si="1"/>
        <v>0</v>
      </c>
      <c r="G13" s="11" t="s">
        <v>58</v>
      </c>
      <c r="H13" s="4" t="s">
        <v>56</v>
      </c>
    </row>
    <row r="14" spans="1:8" ht="79.25" customHeight="1" x14ac:dyDescent="0.25">
      <c r="A14" s="10" t="s">
        <v>18</v>
      </c>
      <c r="B14" s="11" t="s">
        <v>40</v>
      </c>
      <c r="C14" s="12">
        <v>4.5936000000000003</v>
      </c>
      <c r="D14" s="12">
        <v>7.0365000000000002</v>
      </c>
      <c r="E14" s="12">
        <f t="shared" si="0"/>
        <v>4.5936000000000003</v>
      </c>
      <c r="F14" s="12">
        <f t="shared" si="1"/>
        <v>2.4428999999999998</v>
      </c>
      <c r="G14" s="11" t="s">
        <v>58</v>
      </c>
      <c r="H14" s="4" t="s">
        <v>59</v>
      </c>
    </row>
    <row r="15" spans="1:8" ht="79.25" customHeight="1" x14ac:dyDescent="0.25">
      <c r="A15" s="10" t="s">
        <v>18</v>
      </c>
      <c r="B15" s="11" t="s">
        <v>43</v>
      </c>
      <c r="C15" s="12">
        <v>3.0388999999999999</v>
      </c>
      <c r="D15" s="12">
        <v>2.7543000000000002</v>
      </c>
      <c r="E15" s="12">
        <f t="shared" si="0"/>
        <v>3.0388999999999999</v>
      </c>
      <c r="F15" s="12">
        <f t="shared" si="1"/>
        <v>-0.28460000000000002</v>
      </c>
      <c r="G15" s="11" t="s">
        <v>58</v>
      </c>
      <c r="H15" s="4" t="s">
        <v>59</v>
      </c>
    </row>
    <row r="16" spans="1:8" ht="26.4" customHeight="1" x14ac:dyDescent="0.25">
      <c r="A16" s="10" t="s">
        <v>44</v>
      </c>
      <c r="B16" s="11" t="s">
        <v>40</v>
      </c>
      <c r="C16" s="12">
        <v>10.3992</v>
      </c>
      <c r="D16" s="12">
        <v>10.3992</v>
      </c>
      <c r="E16" s="12">
        <f t="shared" si="0"/>
        <v>10.3992</v>
      </c>
      <c r="F16" s="12">
        <f t="shared" si="1"/>
        <v>0</v>
      </c>
      <c r="G16" s="11" t="s">
        <v>58</v>
      </c>
      <c r="H16" s="4" t="s">
        <v>56</v>
      </c>
    </row>
    <row r="17" spans="1:8" ht="26.4" customHeight="1" x14ac:dyDescent="0.25">
      <c r="A17" s="10" t="s">
        <v>44</v>
      </c>
      <c r="B17" s="11" t="s">
        <v>43</v>
      </c>
      <c r="C17" s="12">
        <v>4.7232000000000003</v>
      </c>
      <c r="D17" s="12">
        <v>4.7232000000000003</v>
      </c>
      <c r="E17" s="12">
        <f t="shared" si="0"/>
        <v>4.7232000000000003</v>
      </c>
      <c r="F17" s="12">
        <f t="shared" si="1"/>
        <v>0</v>
      </c>
      <c r="G17" s="11" t="s">
        <v>58</v>
      </c>
      <c r="H17" s="4" t="s">
        <v>56</v>
      </c>
    </row>
    <row r="18" spans="1:8" ht="92.4" customHeight="1" x14ac:dyDescent="0.25">
      <c r="A18" s="10" t="s">
        <v>10</v>
      </c>
      <c r="B18" s="11" t="s">
        <v>40</v>
      </c>
      <c r="C18" s="12">
        <v>4.1618300000000001</v>
      </c>
      <c r="D18" s="12">
        <v>4.1626000000000003</v>
      </c>
      <c r="E18" s="12">
        <f t="shared" si="0"/>
        <v>4.1618300000000001</v>
      </c>
      <c r="F18" s="12">
        <f t="shared" si="1"/>
        <v>7.7000000000015901E-4</v>
      </c>
      <c r="G18" s="11" t="s">
        <v>58</v>
      </c>
      <c r="H18" s="4" t="s">
        <v>60</v>
      </c>
    </row>
    <row r="19" spans="1:8" ht="92.4" customHeight="1" x14ac:dyDescent="0.25">
      <c r="A19" s="10" t="s">
        <v>10</v>
      </c>
      <c r="B19" s="11" t="s">
        <v>43</v>
      </c>
      <c r="C19" s="12">
        <v>2.50719</v>
      </c>
      <c r="D19" s="12">
        <v>2.5024999999999999</v>
      </c>
      <c r="E19" s="12">
        <f t="shared" si="0"/>
        <v>2.50719</v>
      </c>
      <c r="F19" s="12">
        <f t="shared" si="1"/>
        <v>-4.6900000000000804E-3</v>
      </c>
      <c r="G19" s="11" t="s">
        <v>58</v>
      </c>
      <c r="H19" s="4" t="s">
        <v>60</v>
      </c>
    </row>
    <row r="20" spans="1:8" ht="79.25" customHeight="1" x14ac:dyDescent="0.25">
      <c r="A20" s="10" t="s">
        <v>29</v>
      </c>
      <c r="B20" s="11" t="s">
        <v>40</v>
      </c>
      <c r="C20" s="12">
        <v>4.3756000000000004</v>
      </c>
      <c r="D20" s="12">
        <v>4.2629000000000001</v>
      </c>
      <c r="E20" s="12">
        <f t="shared" si="0"/>
        <v>4.3756000000000004</v>
      </c>
      <c r="F20" s="12">
        <f t="shared" si="1"/>
        <v>-0.11269999999999999</v>
      </c>
      <c r="G20" s="11" t="s">
        <v>58</v>
      </c>
      <c r="H20" s="4" t="s">
        <v>59</v>
      </c>
    </row>
    <row r="21" spans="1:8" ht="92.4" customHeight="1" x14ac:dyDescent="0.25">
      <c r="A21" s="13" t="s">
        <v>29</v>
      </c>
      <c r="B21" s="14" t="s">
        <v>43</v>
      </c>
      <c r="C21" s="15">
        <v>2.6295000000000002</v>
      </c>
      <c r="D21" s="15">
        <v>2.6240999999999999</v>
      </c>
      <c r="E21" s="15">
        <f t="shared" si="0"/>
        <v>2.6295000000000002</v>
      </c>
      <c r="F21" s="15">
        <f t="shared" si="1"/>
        <v>-5.40000000000029E-3</v>
      </c>
      <c r="G21" s="14" t="s">
        <v>58</v>
      </c>
      <c r="H21" s="6" t="s">
        <v>60</v>
      </c>
    </row>
    <row r="23" spans="1:8" ht="13.5" customHeight="1" x14ac:dyDescent="0.25">
      <c r="A23" s="32" t="s">
        <v>61</v>
      </c>
      <c r="B23" s="32"/>
      <c r="C23" s="32"/>
      <c r="D23" s="32"/>
      <c r="E23" s="32"/>
      <c r="F23" s="32"/>
      <c r="G23" s="32"/>
      <c r="H23" s="32"/>
    </row>
    <row r="24" spans="1:8" x14ac:dyDescent="0.25">
      <c r="A24" s="33" t="s">
        <v>62</v>
      </c>
      <c r="B24" s="33"/>
      <c r="C24" s="33"/>
      <c r="D24" s="33"/>
      <c r="E24" s="33"/>
      <c r="F24" s="33"/>
      <c r="G24" s="33"/>
      <c r="H24" s="33"/>
    </row>
    <row r="25" spans="1:8" x14ac:dyDescent="0.25">
      <c r="A25" s="33"/>
      <c r="B25" s="33"/>
      <c r="C25" s="33"/>
      <c r="D25" s="33"/>
      <c r="E25" s="33"/>
      <c r="F25" s="33"/>
      <c r="G25" s="33"/>
      <c r="H25" s="33"/>
    </row>
  </sheetData>
  <mergeCells count="3">
    <mergeCell ref="A1:H1"/>
    <mergeCell ref="A23:H23"/>
    <mergeCell ref="A24:H25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showGridLines="0" workbookViewId="0">
      <selection sqref="A1:F1"/>
    </sheetView>
  </sheetViews>
  <sheetFormatPr defaultColWidth="9" defaultRowHeight="14" x14ac:dyDescent="0.25"/>
  <cols>
    <col min="1" max="1" width="22" customWidth="1"/>
    <col min="2" max="2" width="84" customWidth="1"/>
  </cols>
  <sheetData>
    <row r="1" spans="1:6" ht="13.5" customHeight="1" x14ac:dyDescent="0.25">
      <c r="A1" s="31" t="s">
        <v>63</v>
      </c>
      <c r="B1" s="31"/>
      <c r="C1" s="31"/>
      <c r="D1" s="31"/>
      <c r="E1" s="31"/>
      <c r="F1" s="31"/>
    </row>
    <row r="3" spans="1:6" ht="13.5" customHeight="1" x14ac:dyDescent="0.25">
      <c r="A3" s="1" t="s">
        <v>64</v>
      </c>
      <c r="B3" s="2" t="s">
        <v>65</v>
      </c>
    </row>
    <row r="4" spans="1:6" ht="13.5" customHeight="1" x14ac:dyDescent="0.25">
      <c r="A4" s="3" t="s">
        <v>66</v>
      </c>
      <c r="B4" s="4" t="s">
        <v>67</v>
      </c>
    </row>
    <row r="5" spans="1:6" ht="13.5" customHeight="1" x14ac:dyDescent="0.25">
      <c r="A5" s="3" t="s">
        <v>39</v>
      </c>
      <c r="B5" s="4" t="s">
        <v>68</v>
      </c>
    </row>
    <row r="6" spans="1:6" ht="13.5" customHeight="1" x14ac:dyDescent="0.25">
      <c r="A6" s="3" t="s">
        <v>69</v>
      </c>
      <c r="B6" s="4" t="s">
        <v>70</v>
      </c>
    </row>
    <row r="7" spans="1:6" ht="13.5" customHeight="1" x14ac:dyDescent="0.25">
      <c r="A7" s="3" t="s">
        <v>71</v>
      </c>
      <c r="B7" s="4" t="s">
        <v>72</v>
      </c>
    </row>
    <row r="8" spans="1:6" ht="13.5" customHeight="1" x14ac:dyDescent="0.25">
      <c r="A8" s="3" t="s">
        <v>16</v>
      </c>
      <c r="B8" s="4" t="s">
        <v>73</v>
      </c>
    </row>
    <row r="9" spans="1:6" ht="26.4" customHeight="1" x14ac:dyDescent="0.25">
      <c r="A9" s="5" t="s">
        <v>74</v>
      </c>
      <c r="B9" s="6" t="s">
        <v>75</v>
      </c>
    </row>
    <row r="11" spans="1:6" ht="13.5" customHeight="1" x14ac:dyDescent="0.25">
      <c r="A11" s="34" t="s">
        <v>76</v>
      </c>
      <c r="B11" s="34"/>
      <c r="C11" s="34"/>
      <c r="D11" s="34"/>
      <c r="E11" s="34"/>
      <c r="F11" s="34"/>
    </row>
    <row r="12" spans="1:6" x14ac:dyDescent="0.25">
      <c r="A12" s="35" t="s">
        <v>77</v>
      </c>
      <c r="B12" s="35"/>
      <c r="C12" s="35"/>
      <c r="D12" s="35"/>
      <c r="E12" s="35"/>
      <c r="F12" s="35"/>
    </row>
    <row r="13" spans="1:6" x14ac:dyDescent="0.25">
      <c r="A13" s="35"/>
      <c r="B13" s="35"/>
      <c r="C13" s="35"/>
      <c r="D13" s="35"/>
      <c r="E13" s="35"/>
      <c r="F13" s="35"/>
    </row>
    <row r="14" spans="1:6" x14ac:dyDescent="0.25">
      <c r="A14" s="35"/>
      <c r="B14" s="35"/>
      <c r="C14" s="35"/>
      <c r="D14" s="35"/>
      <c r="E14" s="35"/>
      <c r="F14" s="35"/>
    </row>
  </sheetData>
  <mergeCells count="3">
    <mergeCell ref="A1:F1"/>
    <mergeCell ref="A11:F11"/>
    <mergeCell ref="A12:F1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元昊 顾</cp:lastModifiedBy>
  <dcterms:created xsi:type="dcterms:W3CDTF">2026-08-15T14:01:00Z</dcterms:created>
  <dcterms:modified xsi:type="dcterms:W3CDTF">2026-08-15T14:16:55Z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9917B4866948433BB9C8D7EE4F426967_12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